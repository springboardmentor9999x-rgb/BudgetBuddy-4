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Buddy Test Cases" sheetId="1" state="visible" r:id="rId1"/>
    <sheet name="Test Summary" sheetId="2" state="visible" r:id="rId2"/>
  </sheets>
  <definedNames>
    <definedName name="_xlnm._FilterDatabase" localSheetId="0" hidden="1">'BudgetBuddy Test Cases'!$A$2:$G$110</definedName>
    <definedName name="_xlnm.Print_Titles" localSheetId="0">'BudgetBuddy Test Cases'!$1:$2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312E81"/>
    </font>
    <font>
      <b val="1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6C4DF6"/>
      </patternFill>
    </fill>
    <fill>
      <patternFill patternType="solid">
        <fgColor rgb="00F8FAFC"/>
      </patternFill>
    </fill>
    <fill>
      <patternFill patternType="solid">
        <fgColor rgb="00EDE9FE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4" customWidth="1" min="3" max="3"/>
    <col width="43" customWidth="1" min="4" max="4"/>
    <col width="55" customWidth="1" min="5" max="5"/>
    <col width="22" customWidth="1" min="6" max="6"/>
    <col width="20" customWidth="1" min="7" max="7"/>
  </cols>
  <sheetData>
    <row r="1" ht="32" customHeight="1">
      <c r="A1" s="1" t="inlineStr">
        <is>
          <t>BudgetBuddy - Functional Test Cases</t>
        </is>
      </c>
    </row>
    <row r="2">
      <c r="A2" s="2" t="inlineStr">
        <is>
          <t>Module</t>
        </is>
      </c>
      <c r="B2" s="2" t="inlineStr">
        <is>
          <t>Test Case No</t>
        </is>
      </c>
      <c r="C2" s="2" t="inlineStr">
        <is>
          <t>Test Case Scenario</t>
        </is>
      </c>
      <c r="D2" s="2" t="inlineStr">
        <is>
          <t>Test Input / Preconditions</t>
        </is>
      </c>
      <c r="E2" s="2" t="inlineStr">
        <is>
          <t>Expected Output</t>
        </is>
      </c>
      <c r="F2" s="2" t="inlineStr">
        <is>
          <t>Actual Output</t>
        </is>
      </c>
      <c r="G2" s="2" t="inlineStr">
        <is>
          <t>Result (Pass/Fail)</t>
        </is>
      </c>
    </row>
    <row r="3" ht="48" customHeight="1">
      <c r="A3" s="3" t="inlineStr">
        <is>
          <t>Registration &amp; Verification</t>
        </is>
      </c>
      <c r="B3" s="4" t="inlineStr">
        <is>
          <t>REG1</t>
        </is>
      </c>
      <c r="C3" s="4" t="inlineStr">
        <is>
          <t>Successful registration</t>
        </is>
      </c>
      <c r="D3" s="4" t="inlineStr">
        <is>
          <t>Valid full name, unique email, strong password</t>
        </is>
      </c>
      <c r="E3" s="4" t="inlineStr">
        <is>
          <t>Account is created and a verification code is sent to the registered email.</t>
        </is>
      </c>
      <c r="F3" s="4" t="inlineStr">
        <is>
          <t>Not Executed</t>
        </is>
      </c>
      <c r="G3" s="4" t="inlineStr">
        <is>
          <t>Not Executed</t>
        </is>
      </c>
    </row>
    <row r="4" ht="48" customHeight="1">
      <c r="A4" s="5" t="n"/>
      <c r="B4" s="6" t="inlineStr">
        <is>
          <t>REG2</t>
        </is>
      </c>
      <c r="C4" s="6" t="inlineStr">
        <is>
          <t>Reject duplicate email</t>
        </is>
      </c>
      <c r="D4" s="6" t="inlineStr">
        <is>
          <t>Email already registered</t>
        </is>
      </c>
      <c r="E4" s="6" t="inlineStr">
        <is>
          <t>Registration is rejected with a clear duplicate-email message.</t>
        </is>
      </c>
      <c r="F4" s="6" t="inlineStr">
        <is>
          <t>Not Executed</t>
        </is>
      </c>
      <c r="G4" s="6" t="inlineStr">
        <is>
          <t>Not Executed</t>
        </is>
      </c>
    </row>
    <row r="5" ht="48" customHeight="1">
      <c r="A5" s="5" t="n"/>
      <c r="B5" s="4" t="inlineStr">
        <is>
          <t>REG3</t>
        </is>
      </c>
      <c r="C5" s="4" t="inlineStr">
        <is>
          <t>Reject invalid email</t>
        </is>
      </c>
      <c r="D5" s="4" t="inlineStr">
        <is>
          <t>Email: user@invalid</t>
        </is>
      </c>
      <c r="E5" s="4" t="inlineStr">
        <is>
          <t>Email-format validation is shown and no account is created.</t>
        </is>
      </c>
      <c r="F5" s="4" t="inlineStr">
        <is>
          <t>Not Executed</t>
        </is>
      </c>
      <c r="G5" s="4" t="inlineStr">
        <is>
          <t>Not Executed</t>
        </is>
      </c>
    </row>
    <row r="6" ht="48" customHeight="1">
      <c r="A6" s="5" t="n"/>
      <c r="B6" s="6" t="inlineStr">
        <is>
          <t>REG4</t>
        </is>
      </c>
      <c r="C6" s="6" t="inlineStr">
        <is>
          <t>Reject weak password</t>
        </is>
      </c>
      <c r="D6" s="6" t="inlineStr">
        <is>
          <t>Password missing required length/complexity</t>
        </is>
      </c>
      <c r="E6" s="6" t="inlineStr">
        <is>
          <t>Password validation is shown and no account is created.</t>
        </is>
      </c>
      <c r="F6" s="6" t="inlineStr">
        <is>
          <t>Not Executed</t>
        </is>
      </c>
      <c r="G6" s="6" t="inlineStr">
        <is>
          <t>Not Executed</t>
        </is>
      </c>
    </row>
    <row r="7" ht="48" customHeight="1">
      <c r="A7" s="5" t="n"/>
      <c r="B7" s="4" t="inlineStr">
        <is>
          <t>REG5</t>
        </is>
      </c>
      <c r="C7" s="4" t="inlineStr">
        <is>
          <t>Reject missing required fields</t>
        </is>
      </c>
      <c r="D7" s="4" t="inlineStr">
        <is>
          <t>Blank name, email, or password</t>
        </is>
      </c>
      <c r="E7" s="4" t="inlineStr">
        <is>
          <t>Required-field validation is displayed.</t>
        </is>
      </c>
      <c r="F7" s="4" t="inlineStr">
        <is>
          <t>Not Executed</t>
        </is>
      </c>
      <c r="G7" s="4" t="inlineStr">
        <is>
          <t>Not Executed</t>
        </is>
      </c>
    </row>
    <row r="8" ht="48" customHeight="1">
      <c r="A8" s="5" t="n"/>
      <c r="B8" s="6" t="inlineStr">
        <is>
          <t>REG6</t>
        </is>
      </c>
      <c r="C8" s="6" t="inlineStr">
        <is>
          <t>Verify email with valid code</t>
        </is>
      </c>
      <c r="D8" s="6" t="inlineStr">
        <is>
          <t>Registered email and active verification code</t>
        </is>
      </c>
      <c r="E8" s="6" t="inlineStr">
        <is>
          <t>Account becomes verified and can log in.</t>
        </is>
      </c>
      <c r="F8" s="6" t="inlineStr">
        <is>
          <t>Not Executed</t>
        </is>
      </c>
      <c r="G8" s="6" t="inlineStr">
        <is>
          <t>Not Executed</t>
        </is>
      </c>
    </row>
    <row r="9" ht="48" customHeight="1">
      <c r="A9" s="5" t="n"/>
      <c r="B9" s="4" t="inlineStr">
        <is>
          <t>REG7</t>
        </is>
      </c>
      <c r="C9" s="4" t="inlineStr">
        <is>
          <t>Reject invalid verification code</t>
        </is>
      </c>
      <c r="D9" s="4" t="inlineStr">
        <is>
          <t>Registered email and incorrect code</t>
        </is>
      </c>
      <c r="E9" s="4" t="inlineStr">
        <is>
          <t>Verification fails without activating the account.</t>
        </is>
      </c>
      <c r="F9" s="4" t="inlineStr">
        <is>
          <t>Not Executed</t>
        </is>
      </c>
      <c r="G9" s="4" t="inlineStr">
        <is>
          <t>Not Executed</t>
        </is>
      </c>
    </row>
    <row r="10" ht="48" customHeight="1">
      <c r="A10" s="7" t="n"/>
      <c r="B10" s="6" t="inlineStr">
        <is>
          <t>REG8</t>
        </is>
      </c>
      <c r="C10" s="6" t="inlineStr">
        <is>
          <t>Reject expired verification code</t>
        </is>
      </c>
      <c r="D10" s="6" t="inlineStr">
        <is>
          <t>Registered email and expired code</t>
        </is>
      </c>
      <c r="E10" s="6" t="inlineStr">
        <is>
          <t>User is told the code expired and account remains unverified.</t>
        </is>
      </c>
      <c r="F10" s="6" t="inlineStr">
        <is>
          <t>Not Executed</t>
        </is>
      </c>
      <c r="G10" s="6" t="inlineStr">
        <is>
          <t>Not Executed</t>
        </is>
      </c>
    </row>
    <row r="11" ht="48" customHeight="1">
      <c r="A11" s="3" t="inlineStr">
        <is>
          <t>Login &amp; Session</t>
        </is>
      </c>
      <c r="B11" s="4" t="inlineStr">
        <is>
          <t>LOG1</t>
        </is>
      </c>
      <c r="C11" s="4" t="inlineStr">
        <is>
          <t>Successful Free User login</t>
        </is>
      </c>
      <c r="D11" s="4" t="inlineStr">
        <is>
          <t>Verified Free User credentials</t>
        </is>
      </c>
      <c r="E11" s="4" t="inlineStr">
        <is>
          <t>Login succeeds, JWT is stored, and Overview opens.</t>
        </is>
      </c>
      <c r="F11" s="4" t="inlineStr">
        <is>
          <t>Not Executed</t>
        </is>
      </c>
      <c r="G11" s="4" t="inlineStr">
        <is>
          <t>Not Executed</t>
        </is>
      </c>
    </row>
    <row r="12" ht="48" customHeight="1">
      <c r="A12" s="5" t="n"/>
      <c r="B12" s="6" t="inlineStr">
        <is>
          <t>LOG2</t>
        </is>
      </c>
      <c r="C12" s="6" t="inlineStr">
        <is>
          <t>Successful Premium User login</t>
        </is>
      </c>
      <c r="D12" s="6" t="inlineStr">
        <is>
          <t>Verified Premium User credentials</t>
        </is>
      </c>
      <c r="E12" s="6" t="inlineStr">
        <is>
          <t>Login succeeds and Overview opens with Premium access available.</t>
        </is>
      </c>
      <c r="F12" s="6" t="inlineStr">
        <is>
          <t>Not Executed</t>
        </is>
      </c>
      <c r="G12" s="6" t="inlineStr">
        <is>
          <t>Not Executed</t>
        </is>
      </c>
    </row>
    <row r="13" ht="48" customHeight="1">
      <c r="A13" s="5" t="n"/>
      <c r="B13" s="4" t="inlineStr">
        <is>
          <t>LOG3</t>
        </is>
      </c>
      <c r="C13" s="4" t="inlineStr">
        <is>
          <t>Successful Admin login</t>
        </is>
      </c>
      <c r="D13" s="4" t="inlineStr">
        <is>
          <t>Verified Admin credentials</t>
        </is>
      </c>
      <c r="E13" s="4" t="inlineStr">
        <is>
          <t>Login succeeds and Overview opens; Admin navigation is available.</t>
        </is>
      </c>
      <c r="F13" s="4" t="inlineStr">
        <is>
          <t>Not Executed</t>
        </is>
      </c>
      <c r="G13" s="4" t="inlineStr">
        <is>
          <t>Not Executed</t>
        </is>
      </c>
    </row>
    <row r="14" ht="48" customHeight="1">
      <c r="A14" s="5" t="n"/>
      <c r="B14" s="6" t="inlineStr">
        <is>
          <t>LOG4</t>
        </is>
      </c>
      <c r="C14" s="6" t="inlineStr">
        <is>
          <t>Reject incorrect password</t>
        </is>
      </c>
      <c r="D14" s="6" t="inlineStr">
        <is>
          <t>Valid email and incorrect password</t>
        </is>
      </c>
      <c r="E14" s="6" t="inlineStr">
        <is>
          <t>Login is rejected with an invalid-credentials message.</t>
        </is>
      </c>
      <c r="F14" s="6" t="inlineStr">
        <is>
          <t>Not Executed</t>
        </is>
      </c>
      <c r="G14" s="6" t="inlineStr">
        <is>
          <t>Not Executed</t>
        </is>
      </c>
    </row>
    <row r="15" ht="48" customHeight="1">
      <c r="A15" s="5" t="n"/>
      <c r="B15" s="4" t="inlineStr">
        <is>
          <t>LOG5</t>
        </is>
      </c>
      <c r="C15" s="4" t="inlineStr">
        <is>
          <t>Reject unknown email</t>
        </is>
      </c>
      <c r="D15" s="4" t="inlineStr">
        <is>
          <t>Unregistered email and any password</t>
        </is>
      </c>
      <c r="E15" s="4" t="inlineStr">
        <is>
          <t>Login is rejected without revealing sensitive account details.</t>
        </is>
      </c>
      <c r="F15" s="4" t="inlineStr">
        <is>
          <t>Not Executed</t>
        </is>
      </c>
      <c r="G15" s="4" t="inlineStr">
        <is>
          <t>Not Executed</t>
        </is>
      </c>
    </row>
    <row r="16" ht="48" customHeight="1">
      <c r="A16" s="5" t="n"/>
      <c r="B16" s="6" t="inlineStr">
        <is>
          <t>LOG6</t>
        </is>
      </c>
      <c r="C16" s="6" t="inlineStr">
        <is>
          <t>Reject unverified account</t>
        </is>
      </c>
      <c r="D16" s="6" t="inlineStr">
        <is>
          <t>Correct credentials for unverified account</t>
        </is>
      </c>
      <c r="E16" s="6" t="inlineStr">
        <is>
          <t>Access is denied until email verification is completed.</t>
        </is>
      </c>
      <c r="F16" s="6" t="inlineStr">
        <is>
          <t>Not Executed</t>
        </is>
      </c>
      <c r="G16" s="6" t="inlineStr">
        <is>
          <t>Not Executed</t>
        </is>
      </c>
    </row>
    <row r="17" ht="48" customHeight="1">
      <c r="A17" s="5" t="n"/>
      <c r="B17" s="4" t="inlineStr">
        <is>
          <t>LOG7</t>
        </is>
      </c>
      <c r="C17" s="4" t="inlineStr">
        <is>
          <t>Protected route without token</t>
        </is>
      </c>
      <c r="D17" s="4" t="inlineStr">
        <is>
          <t>Open /dashboard without JWT</t>
        </is>
      </c>
      <c r="E17" s="4" t="inlineStr">
        <is>
          <t>User is redirected to Login.</t>
        </is>
      </c>
      <c r="F17" s="4" t="inlineStr">
        <is>
          <t>Not Executed</t>
        </is>
      </c>
      <c r="G17" s="4" t="inlineStr">
        <is>
          <t>Not Executed</t>
        </is>
      </c>
    </row>
    <row r="18" ht="48" customHeight="1">
      <c r="A18" s="5" t="n"/>
      <c r="B18" s="6" t="inlineStr">
        <is>
          <t>LOG8</t>
        </is>
      </c>
      <c r="C18" s="6" t="inlineStr">
        <is>
          <t>Expired or invalid token</t>
        </is>
      </c>
      <c r="D18" s="6" t="inlineStr">
        <is>
          <t>Call a protected API with invalid/expired JWT</t>
        </is>
      </c>
      <c r="E18" s="6" t="inlineStr">
        <is>
          <t>API returns 401 and the client clears the invalid session.</t>
        </is>
      </c>
      <c r="F18" s="6" t="inlineStr">
        <is>
          <t>Not Executed</t>
        </is>
      </c>
      <c r="G18" s="6" t="inlineStr">
        <is>
          <t>Not Executed</t>
        </is>
      </c>
    </row>
    <row r="19" ht="48" customHeight="1">
      <c r="A19" s="5" t="n"/>
      <c r="B19" s="4" t="inlineStr">
        <is>
          <t>LOG9</t>
        </is>
      </c>
      <c r="C19" s="4" t="inlineStr">
        <is>
          <t>Logout</t>
        </is>
      </c>
      <c r="D19" s="4" t="inlineStr">
        <is>
          <t>Click Logout while authenticated</t>
        </is>
      </c>
      <c r="E19" s="4" t="inlineStr">
        <is>
          <t>JWT is removed and the user returns to Login.</t>
        </is>
      </c>
      <c r="F19" s="4" t="inlineStr">
        <is>
          <t>Not Executed</t>
        </is>
      </c>
      <c r="G19" s="4" t="inlineStr">
        <is>
          <t>Not Executed</t>
        </is>
      </c>
    </row>
    <row r="20" ht="48" customHeight="1">
      <c r="A20" s="7" t="n"/>
      <c r="B20" s="6" t="inlineStr">
        <is>
          <t>LOG10</t>
        </is>
      </c>
      <c r="C20" s="6" t="inlineStr">
        <is>
          <t>Deactivated account</t>
        </is>
      </c>
      <c r="D20" s="6" t="inlineStr">
        <is>
          <t>Valid credentials for an inactive account</t>
        </is>
      </c>
      <c r="E20" s="6" t="inlineStr">
        <is>
          <t>Protected access is rejected with an account-deactivated message.</t>
        </is>
      </c>
      <c r="F20" s="6" t="inlineStr">
        <is>
          <t>Not Executed</t>
        </is>
      </c>
      <c r="G20" s="6" t="inlineStr">
        <is>
          <t>Not Executed</t>
        </is>
      </c>
    </row>
    <row r="21" ht="48" customHeight="1">
      <c r="A21" s="3" t="inlineStr">
        <is>
          <t>Overview</t>
        </is>
      </c>
      <c r="B21" s="4" t="inlineStr">
        <is>
          <t>OVR1</t>
        </is>
      </c>
      <c r="C21" s="4" t="inlineStr">
        <is>
          <t>Overview loads summary</t>
        </is>
      </c>
      <c r="D21" s="4" t="inlineStr">
        <is>
          <t>Authenticated user with financial records</t>
        </is>
      </c>
      <c r="E21" s="4" t="inlineStr">
        <is>
          <t>Balance, income, expenses, and savings match that user's data.</t>
        </is>
      </c>
      <c r="F21" s="4" t="inlineStr">
        <is>
          <t>Not Executed</t>
        </is>
      </c>
      <c r="G21" s="4" t="inlineStr">
        <is>
          <t>Not Executed</t>
        </is>
      </c>
    </row>
    <row r="22" ht="48" customHeight="1">
      <c r="A22" s="5" t="n"/>
      <c r="B22" s="6" t="inlineStr">
        <is>
          <t>OVR2</t>
        </is>
      </c>
      <c r="C22" s="6" t="inlineStr">
        <is>
          <t>Overview empty state</t>
        </is>
      </c>
      <c r="D22" s="6" t="inlineStr">
        <is>
          <t>Authenticated user with no records</t>
        </is>
      </c>
      <c r="E22" s="6" t="inlineStr">
        <is>
          <t>Zero-value summary and appropriate empty states render without errors.</t>
        </is>
      </c>
      <c r="F22" s="6" t="inlineStr">
        <is>
          <t>Not Executed</t>
        </is>
      </c>
      <c r="G22" s="6" t="inlineStr">
        <is>
          <t>Not Executed</t>
        </is>
      </c>
    </row>
    <row r="23" ht="48" customHeight="1">
      <c r="A23" s="5" t="n"/>
      <c r="B23" s="4" t="inlineStr">
        <is>
          <t>OVR3</t>
        </is>
      </c>
      <c r="C23" s="4" t="inlineStr">
        <is>
          <t>Month filter updates Overview</t>
        </is>
      </c>
      <c r="D23" s="4" t="inlineStr">
        <is>
          <t>Choose a different month</t>
        </is>
      </c>
      <c r="E23" s="4" t="inlineStr">
        <is>
          <t>Summary, charts, and transactions update for the selected month.</t>
        </is>
      </c>
      <c r="F23" s="4" t="inlineStr">
        <is>
          <t>Not Executed</t>
        </is>
      </c>
      <c r="G23" s="4" t="inlineStr">
        <is>
          <t>Not Executed</t>
        </is>
      </c>
    </row>
    <row r="24" ht="48" customHeight="1">
      <c r="A24" s="5" t="n"/>
      <c r="B24" s="6" t="inlineStr">
        <is>
          <t>OVR4</t>
        </is>
      </c>
      <c r="C24" s="6" t="inlineStr">
        <is>
          <t>Recent transactions</t>
        </is>
      </c>
      <c r="D24" s="6" t="inlineStr">
        <is>
          <t>User has recent income and expenses</t>
        </is>
      </c>
      <c r="E24" s="6" t="inlineStr">
        <is>
          <t>Recent records are shown in correct chronological order and with correct types.</t>
        </is>
      </c>
      <c r="F24" s="6" t="inlineStr">
        <is>
          <t>Not Executed</t>
        </is>
      </c>
      <c r="G24" s="6" t="inlineStr">
        <is>
          <t>Not Executed</t>
        </is>
      </c>
    </row>
    <row r="25" ht="48" customHeight="1">
      <c r="A25" s="5" t="n"/>
      <c r="B25" s="4" t="inlineStr">
        <is>
          <t>OVR5</t>
        </is>
      </c>
      <c r="C25" s="4" t="inlineStr">
        <is>
          <t>Budget progress</t>
        </is>
      </c>
      <c r="D25" s="4" t="inlineStr">
        <is>
          <t>Budget and matching expenses exist</t>
        </is>
      </c>
      <c r="E25" s="4" t="inlineStr">
        <is>
          <t>Budget progress reflects the selected user's spending.</t>
        </is>
      </c>
      <c r="F25" s="4" t="inlineStr">
        <is>
          <t>Not Executed</t>
        </is>
      </c>
      <c r="G25" s="4" t="inlineStr">
        <is>
          <t>Not Executed</t>
        </is>
      </c>
    </row>
    <row r="26" ht="48" customHeight="1">
      <c r="A26" s="7" t="n"/>
      <c r="B26" s="6" t="inlineStr">
        <is>
          <t>OVR6</t>
        </is>
      </c>
      <c r="C26" s="6" t="inlineStr">
        <is>
          <t>Savings-goal progress</t>
        </is>
      </c>
      <c r="D26" s="6" t="inlineStr">
        <is>
          <t>Active savings goals exist</t>
        </is>
      </c>
      <c r="E26" s="6" t="inlineStr">
        <is>
          <t>Goal progress displays current saved and target amounts.</t>
        </is>
      </c>
      <c r="F26" s="6" t="inlineStr">
        <is>
          <t>Not Executed</t>
        </is>
      </c>
      <c r="G26" s="6" t="inlineStr">
        <is>
          <t>Not Executed</t>
        </is>
      </c>
    </row>
    <row r="27" ht="48" customHeight="1">
      <c r="A27" s="3" t="inlineStr">
        <is>
          <t>Income</t>
        </is>
      </c>
      <c r="B27" s="4" t="inlineStr">
        <is>
          <t>INC1</t>
        </is>
      </c>
      <c r="C27" s="4" t="inlineStr">
        <is>
          <t>Add income</t>
        </is>
      </c>
      <c r="D27" s="4" t="inlineStr">
        <is>
          <t>Valid source, positive amount, description, and account</t>
        </is>
      </c>
      <c r="E27" s="4" t="inlineStr">
        <is>
          <t>Income is saved for the authenticated user and totals update.</t>
        </is>
      </c>
      <c r="F27" s="4" t="inlineStr">
        <is>
          <t>Not Executed</t>
        </is>
      </c>
      <c r="G27" s="4" t="inlineStr">
        <is>
          <t>Not Executed</t>
        </is>
      </c>
    </row>
    <row r="28" ht="48" customHeight="1">
      <c r="A28" s="5" t="n"/>
      <c r="B28" s="6" t="inlineStr">
        <is>
          <t>INC2</t>
        </is>
      </c>
      <c r="C28" s="6" t="inlineStr">
        <is>
          <t>Reject zero or negative income</t>
        </is>
      </c>
      <c r="D28" s="6" t="inlineStr">
        <is>
          <t>Amount: 0 or -100</t>
        </is>
      </c>
      <c r="E28" s="6" t="inlineStr">
        <is>
          <t>Validation prevents the income record from being created.</t>
        </is>
      </c>
      <c r="F28" s="6" t="inlineStr">
        <is>
          <t>Not Executed</t>
        </is>
      </c>
      <c r="G28" s="6" t="inlineStr">
        <is>
          <t>Not Executed</t>
        </is>
      </c>
    </row>
    <row r="29" ht="48" customHeight="1">
      <c r="A29" s="5" t="n"/>
      <c r="B29" s="4" t="inlineStr">
        <is>
          <t>INC3</t>
        </is>
      </c>
      <c r="C29" s="4" t="inlineStr">
        <is>
          <t>List own income only</t>
        </is>
      </c>
      <c r="D29" s="4" t="inlineStr">
        <is>
          <t>Two users each have income records</t>
        </is>
      </c>
      <c r="E29" s="4" t="inlineStr">
        <is>
          <t>Each user sees only their own income.</t>
        </is>
      </c>
      <c r="F29" s="4" t="inlineStr">
        <is>
          <t>Not Executed</t>
        </is>
      </c>
      <c r="G29" s="4" t="inlineStr">
        <is>
          <t>Not Executed</t>
        </is>
      </c>
    </row>
    <row r="30" ht="48" customHeight="1">
      <c r="A30" s="5" t="n"/>
      <c r="B30" s="6" t="inlineStr">
        <is>
          <t>INC4</t>
        </is>
      </c>
      <c r="C30" s="6" t="inlineStr">
        <is>
          <t>Edit own income</t>
        </is>
      </c>
      <c r="D30" s="6" t="inlineStr">
        <is>
          <t>Change amount/source of owned record</t>
        </is>
      </c>
      <c r="E30" s="6" t="inlineStr">
        <is>
          <t>Record updates successfully and summaries recalculate.</t>
        </is>
      </c>
      <c r="F30" s="6" t="inlineStr">
        <is>
          <t>Not Executed</t>
        </is>
      </c>
      <c r="G30" s="6" t="inlineStr">
        <is>
          <t>Not Executed</t>
        </is>
      </c>
    </row>
    <row r="31" ht="48" customHeight="1">
      <c r="A31" s="5" t="n"/>
      <c r="B31" s="4" t="inlineStr">
        <is>
          <t>INC5</t>
        </is>
      </c>
      <c r="C31" s="4" t="inlineStr">
        <is>
          <t>Prevent editing another user's income</t>
        </is>
      </c>
      <c r="D31" s="4" t="inlineStr">
        <is>
          <t>Use another user's income ID</t>
        </is>
      </c>
      <c r="E31" s="4" t="inlineStr">
        <is>
          <t>API returns not found/denied and the record is unchanged.</t>
        </is>
      </c>
      <c r="F31" s="4" t="inlineStr">
        <is>
          <t>Not Executed</t>
        </is>
      </c>
      <c r="G31" s="4" t="inlineStr">
        <is>
          <t>Not Executed</t>
        </is>
      </c>
    </row>
    <row r="32" ht="48" customHeight="1">
      <c r="A32" s="7" t="n"/>
      <c r="B32" s="6" t="inlineStr">
        <is>
          <t>INC6</t>
        </is>
      </c>
      <c r="C32" s="6" t="inlineStr">
        <is>
          <t>Delete own income</t>
        </is>
      </c>
      <c r="D32" s="6" t="inlineStr">
        <is>
          <t>Delete an owned income record</t>
        </is>
      </c>
      <c r="E32" s="6" t="inlineStr">
        <is>
          <t>Record is removed and totals update.</t>
        </is>
      </c>
      <c r="F32" s="6" t="inlineStr">
        <is>
          <t>Not Executed</t>
        </is>
      </c>
      <c r="G32" s="6" t="inlineStr">
        <is>
          <t>Not Executed</t>
        </is>
      </c>
    </row>
    <row r="33" ht="48" customHeight="1">
      <c r="A33" s="3" t="inlineStr">
        <is>
          <t>Expenses</t>
        </is>
      </c>
      <c r="B33" s="4" t="inlineStr">
        <is>
          <t>EXP1</t>
        </is>
      </c>
      <c r="C33" s="4" t="inlineStr">
        <is>
          <t>Add expense</t>
        </is>
      </c>
      <c r="D33" s="4" t="inlineStr">
        <is>
          <t>Valid category, positive amount, description, and account</t>
        </is>
      </c>
      <c r="E33" s="4" t="inlineStr">
        <is>
          <t>Expense is saved for the authenticated user and totals update.</t>
        </is>
      </c>
      <c r="F33" s="4" t="inlineStr">
        <is>
          <t>Not Executed</t>
        </is>
      </c>
      <c r="G33" s="4" t="inlineStr">
        <is>
          <t>Not Executed</t>
        </is>
      </c>
    </row>
    <row r="34" ht="48" customHeight="1">
      <c r="A34" s="5" t="n"/>
      <c r="B34" s="6" t="inlineStr">
        <is>
          <t>EXP2</t>
        </is>
      </c>
      <c r="C34" s="6" t="inlineStr">
        <is>
          <t>Reject invalid expense amount</t>
        </is>
      </c>
      <c r="D34" s="6" t="inlineStr">
        <is>
          <t>Amount: 0 or negative</t>
        </is>
      </c>
      <c r="E34" s="6" t="inlineStr">
        <is>
          <t>Validation prevents the expense record from being created.</t>
        </is>
      </c>
      <c r="F34" s="6" t="inlineStr">
        <is>
          <t>Not Executed</t>
        </is>
      </c>
      <c r="G34" s="6" t="inlineStr">
        <is>
          <t>Not Executed</t>
        </is>
      </c>
    </row>
    <row r="35" ht="48" customHeight="1">
      <c r="A35" s="5" t="n"/>
      <c r="B35" s="4" t="inlineStr">
        <is>
          <t>EXP3</t>
        </is>
      </c>
      <c r="C35" s="4" t="inlineStr">
        <is>
          <t>Require expense description</t>
        </is>
      </c>
      <c r="D35" s="4" t="inlineStr">
        <is>
          <t>Valid amount but missing required description</t>
        </is>
      </c>
      <c r="E35" s="4" t="inlineStr">
        <is>
          <t>Validation explains that the description is required.</t>
        </is>
      </c>
      <c r="F35" s="4" t="inlineStr">
        <is>
          <t>Not Executed</t>
        </is>
      </c>
      <c r="G35" s="4" t="inlineStr">
        <is>
          <t>Not Executed</t>
        </is>
      </c>
    </row>
    <row r="36" ht="48" customHeight="1">
      <c r="A36" s="5" t="n"/>
      <c r="B36" s="6" t="inlineStr">
        <is>
          <t>EXP4</t>
        </is>
      </c>
      <c r="C36" s="6" t="inlineStr">
        <is>
          <t>List own expenses only</t>
        </is>
      </c>
      <c r="D36" s="6" t="inlineStr">
        <is>
          <t>Two users each have expense records</t>
        </is>
      </c>
      <c r="E36" s="6" t="inlineStr">
        <is>
          <t>Each user sees only their own expenses.</t>
        </is>
      </c>
      <c r="F36" s="6" t="inlineStr">
        <is>
          <t>Not Executed</t>
        </is>
      </c>
      <c r="G36" s="6" t="inlineStr">
        <is>
          <t>Not Executed</t>
        </is>
      </c>
    </row>
    <row r="37" ht="48" customHeight="1">
      <c r="A37" s="5" t="n"/>
      <c r="B37" s="4" t="inlineStr">
        <is>
          <t>EXP5</t>
        </is>
      </c>
      <c r="C37" s="4" t="inlineStr">
        <is>
          <t>Edit own expense</t>
        </is>
      </c>
      <c r="D37" s="4" t="inlineStr">
        <is>
          <t>Update owned expense amount/category</t>
        </is>
      </c>
      <c r="E37" s="4" t="inlineStr">
        <is>
          <t>Expense updates and affected totals/budgets recalculate.</t>
        </is>
      </c>
      <c r="F37" s="4" t="inlineStr">
        <is>
          <t>Not Executed</t>
        </is>
      </c>
      <c r="G37" s="4" t="inlineStr">
        <is>
          <t>Not Executed</t>
        </is>
      </c>
    </row>
    <row r="38" ht="48" customHeight="1">
      <c r="A38" s="5" t="n"/>
      <c r="B38" s="6" t="inlineStr">
        <is>
          <t>EXP6</t>
        </is>
      </c>
      <c r="C38" s="6" t="inlineStr">
        <is>
          <t>Prevent editing another user's expense</t>
        </is>
      </c>
      <c r="D38" s="6" t="inlineStr">
        <is>
          <t>Use another user's expense ID</t>
        </is>
      </c>
      <c r="E38" s="6" t="inlineStr">
        <is>
          <t>API returns not found/denied and data remains unchanged.</t>
        </is>
      </c>
      <c r="F38" s="6" t="inlineStr">
        <is>
          <t>Not Executed</t>
        </is>
      </c>
      <c r="G38" s="6" t="inlineStr">
        <is>
          <t>Not Executed</t>
        </is>
      </c>
    </row>
    <row r="39" ht="48" customHeight="1">
      <c r="A39" s="5" t="n"/>
      <c r="B39" s="4" t="inlineStr">
        <is>
          <t>EXP7</t>
        </is>
      </c>
      <c r="C39" s="4" t="inlineStr">
        <is>
          <t>Delete own expense</t>
        </is>
      </c>
      <c r="D39" s="4" t="inlineStr">
        <is>
          <t>Delete an owned expense</t>
        </is>
      </c>
      <c r="E39" s="4" t="inlineStr">
        <is>
          <t>Expense is removed and related totals update.</t>
        </is>
      </c>
      <c r="F39" s="4" t="inlineStr">
        <is>
          <t>Not Executed</t>
        </is>
      </c>
      <c r="G39" s="4" t="inlineStr">
        <is>
          <t>Not Executed</t>
        </is>
      </c>
    </row>
    <row r="40" ht="48" customHeight="1">
      <c r="A40" s="7" t="n"/>
      <c r="B40" s="6" t="inlineStr">
        <is>
          <t>EXP8</t>
        </is>
      </c>
      <c r="C40" s="6" t="inlineStr">
        <is>
          <t>Budget threshold notification</t>
        </is>
      </c>
      <c r="D40" s="6" t="inlineStr">
        <is>
          <t>Expense causes category spending to exceed budget</t>
        </is>
      </c>
      <c r="E40" s="6" t="inlineStr">
        <is>
          <t>A single budget alert is generated with the correct message.</t>
        </is>
      </c>
      <c r="F40" s="6" t="inlineStr">
        <is>
          <t>Not Executed</t>
        </is>
      </c>
      <c r="G40" s="6" t="inlineStr">
        <is>
          <t>Not Executed</t>
        </is>
      </c>
    </row>
    <row r="41" ht="48" customHeight="1">
      <c r="A41" s="3" t="inlineStr">
        <is>
          <t>Accounts</t>
        </is>
      </c>
      <c r="B41" s="4" t="inlineStr">
        <is>
          <t>ACC1</t>
        </is>
      </c>
      <c r="C41" s="4" t="inlineStr">
        <is>
          <t>Add bank account</t>
        </is>
      </c>
      <c r="D41" s="4" t="inlineStr">
        <is>
          <t>Valid bank/account details</t>
        </is>
      </c>
      <c r="E41" s="4" t="inlineStr">
        <is>
          <t>Account is saved and becomes available in income/expense forms.</t>
        </is>
      </c>
      <c r="F41" s="4" t="inlineStr">
        <is>
          <t>Not Executed</t>
        </is>
      </c>
      <c r="G41" s="4" t="inlineStr">
        <is>
          <t>Not Executed</t>
        </is>
      </c>
    </row>
    <row r="42" ht="48" customHeight="1">
      <c r="A42" s="5" t="n"/>
      <c r="B42" s="6" t="inlineStr">
        <is>
          <t>ACC2</t>
        </is>
      </c>
      <c r="C42" s="6" t="inlineStr">
        <is>
          <t>List personal accounts</t>
        </is>
      </c>
      <c r="D42" s="6" t="inlineStr">
        <is>
          <t>Authenticated user with accounts</t>
        </is>
      </c>
      <c r="E42" s="6" t="inlineStr">
        <is>
          <t>Only accounts owned by the current user are displayed.</t>
        </is>
      </c>
      <c r="F42" s="6" t="inlineStr">
        <is>
          <t>Not Executed</t>
        </is>
      </c>
      <c r="G42" s="6" t="inlineStr">
        <is>
          <t>Not Executed</t>
        </is>
      </c>
    </row>
    <row r="43" ht="48" customHeight="1">
      <c r="A43" s="5" t="n"/>
      <c r="B43" s="4" t="inlineStr">
        <is>
          <t>ACC3</t>
        </is>
      </c>
      <c r="C43" s="4" t="inlineStr">
        <is>
          <t>Edit personal account</t>
        </is>
      </c>
      <c r="D43" s="4" t="inlineStr">
        <is>
          <t>Update an owned account</t>
        </is>
      </c>
      <c r="E43" s="4" t="inlineStr">
        <is>
          <t>Updated details persist after refresh.</t>
        </is>
      </c>
      <c r="F43" s="4" t="inlineStr">
        <is>
          <t>Not Executed</t>
        </is>
      </c>
      <c r="G43" s="4" t="inlineStr">
        <is>
          <t>Not Executed</t>
        </is>
      </c>
    </row>
    <row r="44" ht="48" customHeight="1">
      <c r="A44" s="5" t="n"/>
      <c r="B44" s="6" t="inlineStr">
        <is>
          <t>ACC4</t>
        </is>
      </c>
      <c r="C44" s="6" t="inlineStr">
        <is>
          <t>Delete personal account</t>
        </is>
      </c>
      <c r="D44" s="6" t="inlineStr">
        <is>
          <t>Delete an owned account</t>
        </is>
      </c>
      <c r="E44" s="6" t="inlineStr">
        <is>
          <t>Account is removed without affecting another user's accounts.</t>
        </is>
      </c>
      <c r="F44" s="6" t="inlineStr">
        <is>
          <t>Not Executed</t>
        </is>
      </c>
      <c r="G44" s="6" t="inlineStr">
        <is>
          <t>Not Executed</t>
        </is>
      </c>
    </row>
    <row r="45" ht="48" customHeight="1">
      <c r="A45" s="7" t="n"/>
      <c r="B45" s="4" t="inlineStr">
        <is>
          <t>ACC5</t>
        </is>
      </c>
      <c r="C45" s="4" t="inlineStr">
        <is>
          <t>Transaction without account</t>
        </is>
      </c>
      <c r="D45" s="4" t="inlineStr">
        <is>
          <t>Attempt entry when no account exists</t>
        </is>
      </c>
      <c r="E45" s="4" t="inlineStr">
        <is>
          <t>Helpful guidance asks the user to add an account first.</t>
        </is>
      </c>
      <c r="F45" s="4" t="inlineStr">
        <is>
          <t>Not Executed</t>
        </is>
      </c>
      <c r="G45" s="4" t="inlineStr">
        <is>
          <t>Not Executed</t>
        </is>
      </c>
    </row>
    <row r="46" ht="48" customHeight="1">
      <c r="A46" s="3" t="inlineStr">
        <is>
          <t>Budgets</t>
        </is>
      </c>
      <c r="B46" s="6" t="inlineStr">
        <is>
          <t>BUD1</t>
        </is>
      </c>
      <c r="C46" s="6" t="inlineStr">
        <is>
          <t>Create monthly budget</t>
        </is>
      </c>
      <c r="D46" s="6" t="inlineStr">
        <is>
          <t>Category, positive amount, YYYY-MM month</t>
        </is>
      </c>
      <c r="E46" s="6" t="inlineStr">
        <is>
          <t>Budget is created for the authenticated user.</t>
        </is>
      </c>
      <c r="F46" s="6" t="inlineStr">
        <is>
          <t>Not Executed</t>
        </is>
      </c>
      <c r="G46" s="6" t="inlineStr">
        <is>
          <t>Not Executed</t>
        </is>
      </c>
    </row>
    <row r="47" ht="48" customHeight="1">
      <c r="A47" s="5" t="n"/>
      <c r="B47" s="4" t="inlineStr">
        <is>
          <t>BUD2</t>
        </is>
      </c>
      <c r="C47" s="4" t="inlineStr">
        <is>
          <t>Reject duplicate category/month budget</t>
        </is>
      </c>
      <c r="D47" s="4" t="inlineStr">
        <is>
          <t>Same user, category, and month</t>
        </is>
      </c>
      <c r="E47" s="4" t="inlineStr">
        <is>
          <t>Duplicate budget is rejected with a conflict message.</t>
        </is>
      </c>
      <c r="F47" s="4" t="inlineStr">
        <is>
          <t>Not Executed</t>
        </is>
      </c>
      <c r="G47" s="4" t="inlineStr">
        <is>
          <t>Not Executed</t>
        </is>
      </c>
    </row>
    <row r="48" ht="48" customHeight="1">
      <c r="A48" s="5" t="n"/>
      <c r="B48" s="6" t="inlineStr">
        <is>
          <t>BUD3</t>
        </is>
      </c>
      <c r="C48" s="6" t="inlineStr">
        <is>
          <t>Budget list by month</t>
        </is>
      </c>
      <c r="D48" s="6" t="inlineStr">
        <is>
          <t>Select a month containing budgets</t>
        </is>
      </c>
      <c r="E48" s="6" t="inlineStr">
        <is>
          <t>Only the user's budgets for that month are shown.</t>
        </is>
      </c>
      <c r="F48" s="6" t="inlineStr">
        <is>
          <t>Not Executed</t>
        </is>
      </c>
      <c r="G48" s="6" t="inlineStr">
        <is>
          <t>Not Executed</t>
        </is>
      </c>
    </row>
    <row r="49" ht="48" customHeight="1">
      <c r="A49" s="5" t="n"/>
      <c r="B49" s="4" t="inlineStr">
        <is>
          <t>BUD4</t>
        </is>
      </c>
      <c r="C49" s="4" t="inlineStr">
        <is>
          <t>Budget spending calculation</t>
        </is>
      </c>
      <c r="D49" s="4" t="inlineStr">
        <is>
          <t>Budget plus expenses in same category/month</t>
        </is>
      </c>
      <c r="E49" s="4" t="inlineStr">
        <is>
          <t>Spent, remaining, and percentage values are correct.</t>
        </is>
      </c>
      <c r="F49" s="4" t="inlineStr">
        <is>
          <t>Not Executed</t>
        </is>
      </c>
      <c r="G49" s="4" t="inlineStr">
        <is>
          <t>Not Executed</t>
        </is>
      </c>
    </row>
    <row r="50" ht="48" customHeight="1">
      <c r="A50" s="5" t="n"/>
      <c r="B50" s="6" t="inlineStr">
        <is>
          <t>BUD5</t>
        </is>
      </c>
      <c r="C50" s="6" t="inlineStr">
        <is>
          <t>Edit own budget</t>
        </is>
      </c>
      <c r="D50" s="6" t="inlineStr">
        <is>
          <t>Update amount on owned budget</t>
        </is>
      </c>
      <c r="E50" s="6" t="inlineStr">
        <is>
          <t>Budget and progress values update successfully.</t>
        </is>
      </c>
      <c r="F50" s="6" t="inlineStr">
        <is>
          <t>Not Executed</t>
        </is>
      </c>
      <c r="G50" s="6" t="inlineStr">
        <is>
          <t>Not Executed</t>
        </is>
      </c>
    </row>
    <row r="51" ht="48" customHeight="1">
      <c r="A51" s="5" t="n"/>
      <c r="B51" s="4" t="inlineStr">
        <is>
          <t>BUD6</t>
        </is>
      </c>
      <c r="C51" s="4" t="inlineStr">
        <is>
          <t>Prevent cross-user budget access</t>
        </is>
      </c>
      <c r="D51" s="4" t="inlineStr">
        <is>
          <t>Read/update/delete another user's budget ID</t>
        </is>
      </c>
      <c r="E51" s="4" t="inlineStr">
        <is>
          <t>Operations return not found/denied.</t>
        </is>
      </c>
      <c r="F51" s="4" t="inlineStr">
        <is>
          <t>Not Executed</t>
        </is>
      </c>
      <c r="G51" s="4" t="inlineStr">
        <is>
          <t>Not Executed</t>
        </is>
      </c>
    </row>
    <row r="52" ht="48" customHeight="1">
      <c r="A52" s="7" t="n"/>
      <c r="B52" s="6" t="inlineStr">
        <is>
          <t>BUD7</t>
        </is>
      </c>
      <c r="C52" s="6" t="inlineStr">
        <is>
          <t>Delete own budget</t>
        </is>
      </c>
      <c r="D52" s="6" t="inlineStr">
        <is>
          <t>Delete an owned budget</t>
        </is>
      </c>
      <c r="E52" s="6" t="inlineStr">
        <is>
          <t>Budget is removed and no other data is changed.</t>
        </is>
      </c>
      <c r="F52" s="6" t="inlineStr">
        <is>
          <t>Not Executed</t>
        </is>
      </c>
      <c r="G52" s="6" t="inlineStr">
        <is>
          <t>Not Executed</t>
        </is>
      </c>
    </row>
    <row r="53" ht="48" customHeight="1">
      <c r="A53" s="3" t="inlineStr">
        <is>
          <t>Savings Goals</t>
        </is>
      </c>
      <c r="B53" s="4" t="inlineStr">
        <is>
          <t>GOL1</t>
        </is>
      </c>
      <c r="C53" s="4" t="inlineStr">
        <is>
          <t>Create savings goal</t>
        </is>
      </c>
      <c r="D53" s="4" t="inlineStr">
        <is>
          <t>Goal name and positive target amount</t>
        </is>
      </c>
      <c r="E53" s="4" t="inlineStr">
        <is>
          <t>Goal is created with zero/current progress.</t>
        </is>
      </c>
      <c r="F53" s="4" t="inlineStr">
        <is>
          <t>Not Executed</t>
        </is>
      </c>
      <c r="G53" s="4" t="inlineStr">
        <is>
          <t>Not Executed</t>
        </is>
      </c>
    </row>
    <row r="54" ht="48" customHeight="1">
      <c r="A54" s="5" t="n"/>
      <c r="B54" s="6" t="inlineStr">
        <is>
          <t>GOL2</t>
        </is>
      </c>
      <c r="C54" s="6" t="inlineStr">
        <is>
          <t>Contribute to goal</t>
        </is>
      </c>
      <c r="D54" s="6" t="inlineStr">
        <is>
          <t>Positive contribution to owned goal</t>
        </is>
      </c>
      <c r="E54" s="6" t="inlineStr">
        <is>
          <t>Saved amount and progress percentage increase correctly.</t>
        </is>
      </c>
      <c r="F54" s="6" t="inlineStr">
        <is>
          <t>Not Executed</t>
        </is>
      </c>
      <c r="G54" s="6" t="inlineStr">
        <is>
          <t>Not Executed</t>
        </is>
      </c>
    </row>
    <row r="55" ht="48" customHeight="1">
      <c r="A55" s="5" t="n"/>
      <c r="B55" s="4" t="inlineStr">
        <is>
          <t>GOL3</t>
        </is>
      </c>
      <c r="C55" s="4" t="inlineStr">
        <is>
          <t>Complete savings goal</t>
        </is>
      </c>
      <c r="D55" s="4" t="inlineStr">
        <is>
          <t>Contribution reaches target</t>
        </is>
      </c>
      <c r="E55" s="4" t="inlineStr">
        <is>
          <t>Goal status becomes completed and reaches 100%.</t>
        </is>
      </c>
      <c r="F55" s="4" t="inlineStr">
        <is>
          <t>Not Executed</t>
        </is>
      </c>
      <c r="G55" s="4" t="inlineStr">
        <is>
          <t>Not Executed</t>
        </is>
      </c>
    </row>
    <row r="56" ht="48" customHeight="1">
      <c r="A56" s="5" t="n"/>
      <c r="B56" s="6" t="inlineStr">
        <is>
          <t>GOL4</t>
        </is>
      </c>
      <c r="C56" s="6" t="inlineStr">
        <is>
          <t>Goal milestone notifications</t>
        </is>
      </c>
      <c r="D56" s="6" t="inlineStr">
        <is>
          <t>Contributions cross configured milestones</t>
        </is>
      </c>
      <c r="E56" s="6" t="inlineStr">
        <is>
          <t>Each milestone produces the expected notification once.</t>
        </is>
      </c>
      <c r="F56" s="6" t="inlineStr">
        <is>
          <t>Not Executed</t>
        </is>
      </c>
      <c r="G56" s="6" t="inlineStr">
        <is>
          <t>Not Executed</t>
        </is>
      </c>
    </row>
    <row r="57" ht="48" customHeight="1">
      <c r="A57" s="5" t="n"/>
      <c r="B57" s="4" t="inlineStr">
        <is>
          <t>GOL5</t>
        </is>
      </c>
      <c r="C57" s="4" t="inlineStr">
        <is>
          <t>Edit own goal</t>
        </is>
      </c>
      <c r="D57" s="4" t="inlineStr">
        <is>
          <t>Update owned goal name/target</t>
        </is>
      </c>
      <c r="E57" s="4" t="inlineStr">
        <is>
          <t>Goal updates and progress is recalculated.</t>
        </is>
      </c>
      <c r="F57" s="4" t="inlineStr">
        <is>
          <t>Not Executed</t>
        </is>
      </c>
      <c r="G57" s="4" t="inlineStr">
        <is>
          <t>Not Executed</t>
        </is>
      </c>
    </row>
    <row r="58" ht="48" customHeight="1">
      <c r="A58" s="5" t="n"/>
      <c r="B58" s="6" t="inlineStr">
        <is>
          <t>GOL6</t>
        </is>
      </c>
      <c r="C58" s="6" t="inlineStr">
        <is>
          <t>Prevent cross-user goal access</t>
        </is>
      </c>
      <c r="D58" s="6" t="inlineStr">
        <is>
          <t>Read/update/contribute/delete another user's goal</t>
        </is>
      </c>
      <c r="E58" s="6" t="inlineStr">
        <is>
          <t>Operations return not found/denied.</t>
        </is>
      </c>
      <c r="F58" s="6" t="inlineStr">
        <is>
          <t>Not Executed</t>
        </is>
      </c>
      <c r="G58" s="6" t="inlineStr">
        <is>
          <t>Not Executed</t>
        </is>
      </c>
    </row>
    <row r="59" ht="48" customHeight="1">
      <c r="A59" s="7" t="n"/>
      <c r="B59" s="4" t="inlineStr">
        <is>
          <t>GOL7</t>
        </is>
      </c>
      <c r="C59" s="4" t="inlineStr">
        <is>
          <t>Delete own goal</t>
        </is>
      </c>
      <c r="D59" s="4" t="inlineStr">
        <is>
          <t>Delete an owned goal</t>
        </is>
      </c>
      <c r="E59" s="4" t="inlineStr">
        <is>
          <t>Goal is removed successfully.</t>
        </is>
      </c>
      <c r="F59" s="4" t="inlineStr">
        <is>
          <t>Not Executed</t>
        </is>
      </c>
      <c r="G59" s="4" t="inlineStr">
        <is>
          <t>Not Executed</t>
        </is>
      </c>
    </row>
    <row r="60" ht="48" customHeight="1">
      <c r="A60" s="3" t="inlineStr">
        <is>
          <t>Analytics</t>
        </is>
      </c>
      <c r="B60" s="6" t="inlineStr">
        <is>
          <t>ANA1</t>
        </is>
      </c>
      <c r="C60" s="6" t="inlineStr">
        <is>
          <t>Monthly financial summary</t>
        </is>
      </c>
      <c r="D60" s="6" t="inlineStr">
        <is>
          <t>Month with income and expenses</t>
        </is>
      </c>
      <c r="E60" s="6" t="inlineStr">
        <is>
          <t>Income, expenses, net balance, and savings rate are correct.</t>
        </is>
      </c>
      <c r="F60" s="6" t="inlineStr">
        <is>
          <t>Not Executed</t>
        </is>
      </c>
      <c r="G60" s="6" t="inlineStr">
        <is>
          <t>Not Executed</t>
        </is>
      </c>
    </row>
    <row r="61" ht="48" customHeight="1">
      <c r="A61" s="5" t="n"/>
      <c r="B61" s="4" t="inlineStr">
        <is>
          <t>ANA2</t>
        </is>
      </c>
      <c r="C61" s="4" t="inlineStr">
        <is>
          <t>Spending by category</t>
        </is>
      </c>
      <c r="D61" s="4" t="inlineStr">
        <is>
          <t>Expenses across several categories</t>
        </is>
      </c>
      <c r="E61" s="4" t="inlineStr">
        <is>
          <t>Category totals and chart values match recorded expenses.</t>
        </is>
      </c>
      <c r="F61" s="4" t="inlineStr">
        <is>
          <t>Not Executed</t>
        </is>
      </c>
      <c r="G61" s="4" t="inlineStr">
        <is>
          <t>Not Executed</t>
        </is>
      </c>
    </row>
    <row r="62" ht="48" customHeight="1">
      <c r="A62" s="5" t="n"/>
      <c r="B62" s="6" t="inlineStr">
        <is>
          <t>ANA3</t>
        </is>
      </c>
      <c r="C62" s="6" t="inlineStr">
        <is>
          <t>Income versus expenses</t>
        </is>
      </c>
      <c r="D62" s="6" t="inlineStr">
        <is>
          <t>Month with both transaction types</t>
        </is>
      </c>
      <c r="E62" s="6" t="inlineStr">
        <is>
          <t>Comparison chart uses accurate totals.</t>
        </is>
      </c>
      <c r="F62" s="6" t="inlineStr">
        <is>
          <t>Not Executed</t>
        </is>
      </c>
      <c r="G62" s="6" t="inlineStr">
        <is>
          <t>Not Executed</t>
        </is>
      </c>
    </row>
    <row r="63" ht="48" customHeight="1">
      <c r="A63" s="5" t="n"/>
      <c r="B63" s="4" t="inlineStr">
        <is>
          <t>ANA4</t>
        </is>
      </c>
      <c r="C63" s="4" t="inlineStr">
        <is>
          <t>Six-month cash-flow trend</t>
        </is>
      </c>
      <c r="D63" s="4" t="inlineStr">
        <is>
          <t>Transactions across six months</t>
        </is>
      </c>
      <c r="E63" s="4" t="inlineStr">
        <is>
          <t>Monthly income and expense trend is chronologically correct.</t>
        </is>
      </c>
      <c r="F63" s="4" t="inlineStr">
        <is>
          <t>Not Executed</t>
        </is>
      </c>
      <c r="G63" s="4" t="inlineStr">
        <is>
          <t>Not Executed</t>
        </is>
      </c>
    </row>
    <row r="64" ht="48" customHeight="1">
      <c r="A64" s="5" t="n"/>
      <c r="B64" s="6" t="inlineStr">
        <is>
          <t>ANA5</t>
        </is>
      </c>
      <c r="C64" s="6" t="inlineStr">
        <is>
          <t>Highest spending category</t>
        </is>
      </c>
      <c r="D64" s="6" t="inlineStr">
        <is>
          <t>Multiple expense categories</t>
        </is>
      </c>
      <c r="E64" s="6" t="inlineStr">
        <is>
          <t>Top-category insight identifies the largest total.</t>
        </is>
      </c>
      <c r="F64" s="6" t="inlineStr">
        <is>
          <t>Not Executed</t>
        </is>
      </c>
      <c r="G64" s="6" t="inlineStr">
        <is>
          <t>Not Executed</t>
        </is>
      </c>
    </row>
    <row r="65" ht="48" customHeight="1">
      <c r="A65" s="5" t="n"/>
      <c r="B65" s="4" t="inlineStr">
        <is>
          <t>ANA6</t>
        </is>
      </c>
      <c r="C65" s="4" t="inlineStr">
        <is>
          <t>Savings analysis</t>
        </is>
      </c>
      <c r="D65" s="4" t="inlineStr">
        <is>
          <t>Income and expense data</t>
        </is>
      </c>
      <c r="E65" s="4" t="inlineStr">
        <is>
          <t>Savings rate and insight text reflect the calculated cash flow.</t>
        </is>
      </c>
      <c r="F65" s="4" t="inlineStr">
        <is>
          <t>Not Executed</t>
        </is>
      </c>
      <c r="G65" s="4" t="inlineStr">
        <is>
          <t>Not Executed</t>
        </is>
      </c>
    </row>
    <row r="66" ht="48" customHeight="1">
      <c r="A66" s="5" t="n"/>
      <c r="B66" s="6" t="inlineStr">
        <is>
          <t>ANA7</t>
        </is>
      </c>
      <c r="C66" s="6" t="inlineStr">
        <is>
          <t>Goal analysis</t>
        </is>
      </c>
      <c r="D66" s="6" t="inlineStr">
        <is>
          <t>Active and completed goals</t>
        </is>
      </c>
      <c r="E66" s="6" t="inlineStr">
        <is>
          <t>Analytics shows accurate goal progress.</t>
        </is>
      </c>
      <c r="F66" s="6" t="inlineStr">
        <is>
          <t>Not Executed</t>
        </is>
      </c>
      <c r="G66" s="6" t="inlineStr">
        <is>
          <t>Not Executed</t>
        </is>
      </c>
    </row>
    <row r="67" ht="48" customHeight="1">
      <c r="A67" s="5" t="n"/>
      <c r="B67" s="4" t="inlineStr">
        <is>
          <t>ANA8</t>
        </is>
      </c>
      <c r="C67" s="4" t="inlineStr">
        <is>
          <t>Analytics empty state</t>
        </is>
      </c>
      <c r="D67" s="4" t="inlineStr">
        <is>
          <t>User with no financial data</t>
        </is>
      </c>
      <c r="E67" s="4" t="inlineStr">
        <is>
          <t>Charts and totals show safe zero/empty states without crashing.</t>
        </is>
      </c>
      <c r="F67" s="4" t="inlineStr">
        <is>
          <t>Not Executed</t>
        </is>
      </c>
      <c r="G67" s="4" t="inlineStr">
        <is>
          <t>Not Executed</t>
        </is>
      </c>
    </row>
    <row r="68" ht="48" customHeight="1">
      <c r="A68" s="5" t="n"/>
      <c r="B68" s="6" t="inlineStr">
        <is>
          <t>ANA9</t>
        </is>
      </c>
      <c r="C68" s="6" t="inlineStr">
        <is>
          <t>Premium custom date range</t>
        </is>
      </c>
      <c r="D68" s="6" t="inlineStr">
        <is>
          <t>Premium User selects valid From/To dates</t>
        </is>
      </c>
      <c r="E68" s="6" t="inlineStr">
        <is>
          <t>Selected-range totals and categories update correctly.</t>
        </is>
      </c>
      <c r="F68" s="6" t="inlineStr">
        <is>
          <t>Not Executed</t>
        </is>
      </c>
      <c r="G68" s="6" t="inlineStr">
        <is>
          <t>Not Executed</t>
        </is>
      </c>
    </row>
    <row r="69" ht="48" customHeight="1">
      <c r="A69" s="5" t="n"/>
      <c r="B69" s="4" t="inlineStr">
        <is>
          <t>ANA10</t>
        </is>
      </c>
      <c r="C69" s="4" t="inlineStr">
        <is>
          <t>Premium 12-month trend</t>
        </is>
      </c>
      <c r="D69" s="4" t="inlineStr">
        <is>
          <t>Premium User with yearly records</t>
        </is>
      </c>
      <c r="E69" s="4" t="inlineStr">
        <is>
          <t>Twelve-month income and expense trend is displayed.</t>
        </is>
      </c>
      <c r="F69" s="4" t="inlineStr">
        <is>
          <t>Not Executed</t>
        </is>
      </c>
      <c r="G69" s="4" t="inlineStr">
        <is>
          <t>Not Executed</t>
        </is>
      </c>
    </row>
    <row r="70" ht="48" customHeight="1">
      <c r="A70" s="5" t="n"/>
      <c r="B70" s="6" t="inlineStr">
        <is>
          <t>ANA11</t>
        </is>
      </c>
      <c r="C70" s="6" t="inlineStr">
        <is>
          <t>Reject invalid analytics range</t>
        </is>
      </c>
      <c r="D70" s="6" t="inlineStr">
        <is>
          <t>From date after To date or range over two years</t>
        </is>
      </c>
      <c r="E70" s="6" t="inlineStr">
        <is>
          <t>API returns validation error and UI shows a useful message.</t>
        </is>
      </c>
      <c r="F70" s="6" t="inlineStr">
        <is>
          <t>Not Executed</t>
        </is>
      </c>
      <c r="G70" s="6" t="inlineStr">
        <is>
          <t>Not Executed</t>
        </is>
      </c>
    </row>
    <row r="71" ht="48" customHeight="1">
      <c r="A71" s="5" t="n"/>
      <c r="B71" s="4" t="inlineStr">
        <is>
          <t>ANA12</t>
        </is>
      </c>
      <c r="C71" s="4" t="inlineStr">
        <is>
          <t>Free User premium analytics restriction</t>
        </is>
      </c>
      <c r="D71" s="4" t="inlineStr">
        <is>
          <t>Free User calls /premium/insights</t>
        </is>
      </c>
      <c r="E71" s="4" t="inlineStr">
        <is>
          <t>API returns 403 and premium-only analysis is not displayed.</t>
        </is>
      </c>
      <c r="F71" s="4" t="inlineStr">
        <is>
          <t>Not Executed</t>
        </is>
      </c>
      <c r="G71" s="4" t="inlineStr">
        <is>
          <t>Not Executed</t>
        </is>
      </c>
    </row>
    <row r="72" ht="48" customHeight="1">
      <c r="A72" s="5" t="n"/>
      <c r="B72" s="6" t="inlineStr">
        <is>
          <t>ANA13</t>
        </is>
      </c>
      <c r="C72" s="6" t="inlineStr">
        <is>
          <t>Admin premium analytics access</t>
        </is>
      </c>
      <c r="D72" s="6" t="inlineStr">
        <is>
          <t>Admin opens Analytics</t>
        </is>
      </c>
      <c r="E72" s="6" t="inlineStr">
        <is>
          <t>Admin can use detailed analytics for only the Admin's personal data.</t>
        </is>
      </c>
      <c r="F72" s="6" t="inlineStr">
        <is>
          <t>Not Executed</t>
        </is>
      </c>
      <c r="G72" s="6" t="inlineStr">
        <is>
          <t>Not Executed</t>
        </is>
      </c>
    </row>
    <row r="73" ht="48" customHeight="1">
      <c r="A73" s="7" t="n"/>
      <c r="B73" s="4" t="inlineStr">
        <is>
          <t>ANA14</t>
        </is>
      </c>
      <c r="C73" s="4" t="inlineStr">
        <is>
          <t>Legacy advanced URL</t>
        </is>
      </c>
      <c r="D73" s="4" t="inlineStr">
        <is>
          <t>Open /advanced-analytics</t>
        </is>
      </c>
      <c r="E73" s="4" t="inlineStr">
        <is>
          <t>User is redirected to the unified /analytics page.</t>
        </is>
      </c>
      <c r="F73" s="4" t="inlineStr">
        <is>
          <t>Not Executed</t>
        </is>
      </c>
      <c r="G73" s="4" t="inlineStr">
        <is>
          <t>Not Executed</t>
        </is>
      </c>
    </row>
    <row r="74" ht="48" customHeight="1">
      <c r="A74" s="3" t="inlineStr">
        <is>
          <t>Reports &amp; Export</t>
        </is>
      </c>
      <c r="B74" s="6" t="inlineStr">
        <is>
          <t>RPT1</t>
        </is>
      </c>
      <c r="C74" s="6" t="inlineStr">
        <is>
          <t>Monthly statement</t>
        </is>
      </c>
      <c r="D74" s="6" t="inlineStr">
        <is>
          <t>Select month/year</t>
        </is>
      </c>
      <c r="E74" s="6" t="inlineStr">
        <is>
          <t>Opening balance, credits, debits, closing balance, and transactions are correct.</t>
        </is>
      </c>
      <c r="F74" s="6" t="inlineStr">
        <is>
          <t>Not Executed</t>
        </is>
      </c>
      <c r="G74" s="6" t="inlineStr">
        <is>
          <t>Not Executed</t>
        </is>
      </c>
    </row>
    <row r="75" ht="48" customHeight="1">
      <c r="A75" s="5" t="n"/>
      <c r="B75" s="4" t="inlineStr">
        <is>
          <t>RPT2</t>
        </is>
      </c>
      <c r="C75" s="4" t="inlineStr">
        <is>
          <t>PDF export</t>
        </is>
      </c>
      <c r="D75" s="4" t="inlineStr">
        <is>
          <t>Premium User exports selected period</t>
        </is>
      </c>
      <c r="E75" s="4" t="inlineStr">
        <is>
          <t>A valid PDF statement downloads with the correct period and personal data.</t>
        </is>
      </c>
      <c r="F75" s="4" t="inlineStr">
        <is>
          <t>Not Executed</t>
        </is>
      </c>
      <c r="G75" s="4" t="inlineStr">
        <is>
          <t>Not Executed</t>
        </is>
      </c>
    </row>
    <row r="76" ht="48" customHeight="1">
      <c r="A76" s="5" t="n"/>
      <c r="B76" s="6" t="inlineStr">
        <is>
          <t>RPT3</t>
        </is>
      </c>
      <c r="C76" s="6" t="inlineStr">
        <is>
          <t>Excel export</t>
        </is>
      </c>
      <c r="D76" s="6" t="inlineStr">
        <is>
          <t>Premium User exports selected period</t>
        </is>
      </c>
      <c r="E76" s="6" t="inlineStr">
        <is>
          <t>A valid XLSX statement downloads with summary and transaction sheets.</t>
        </is>
      </c>
      <c r="F76" s="6" t="inlineStr">
        <is>
          <t>Not Executed</t>
        </is>
      </c>
      <c r="G76" s="6" t="inlineStr">
        <is>
          <t>Not Executed</t>
        </is>
      </c>
    </row>
    <row r="77" ht="48" customHeight="1">
      <c r="A77" s="5" t="n"/>
      <c r="B77" s="4" t="inlineStr">
        <is>
          <t>RPT4</t>
        </is>
      </c>
      <c r="C77" s="4" t="inlineStr">
        <is>
          <t>Free User export restriction</t>
        </is>
      </c>
      <c r="D77" s="4" t="inlineStr">
        <is>
          <t>Free User requests PDF/XLSX export</t>
        </is>
      </c>
      <c r="E77" s="4" t="inlineStr">
        <is>
          <t>API returns 403 because Premium access is required.</t>
        </is>
      </c>
      <c r="F77" s="4" t="inlineStr">
        <is>
          <t>Not Executed</t>
        </is>
      </c>
      <c r="G77" s="4" t="inlineStr">
        <is>
          <t>Not Executed</t>
        </is>
      </c>
    </row>
    <row r="78" ht="48" customHeight="1">
      <c r="A78" s="7" t="n"/>
      <c r="B78" s="6" t="inlineStr">
        <is>
          <t>RPT5</t>
        </is>
      </c>
      <c r="C78" s="6" t="inlineStr">
        <is>
          <t>Admin personal report</t>
        </is>
      </c>
      <c r="D78" s="6" t="inlineStr">
        <is>
          <t>Admin exports report</t>
        </is>
      </c>
      <c r="E78" s="6" t="inlineStr">
        <is>
          <t>Report contains only the Admin's own financial records.</t>
        </is>
      </c>
      <c r="F78" s="6" t="inlineStr">
        <is>
          <t>Not Executed</t>
        </is>
      </c>
      <c r="G78" s="6" t="inlineStr">
        <is>
          <t>Not Executed</t>
        </is>
      </c>
    </row>
    <row r="79" ht="48" customHeight="1">
      <c r="A79" s="3" t="inlineStr">
        <is>
          <t>Notifications</t>
        </is>
      </c>
      <c r="B79" s="4" t="inlineStr">
        <is>
          <t>NOT1</t>
        </is>
      </c>
      <c r="C79" s="4" t="inlineStr">
        <is>
          <t>List notifications</t>
        </is>
      </c>
      <c r="D79" s="4" t="inlineStr">
        <is>
          <t>Authenticated user with notifications</t>
        </is>
      </c>
      <c r="E79" s="4" t="inlineStr">
        <is>
          <t>Only that user's notifications are listed newest first.</t>
        </is>
      </c>
      <c r="F79" s="4" t="inlineStr">
        <is>
          <t>Not Executed</t>
        </is>
      </c>
      <c r="G79" s="4" t="inlineStr">
        <is>
          <t>Not Executed</t>
        </is>
      </c>
    </row>
    <row r="80" ht="48" customHeight="1">
      <c r="A80" s="5" t="n"/>
      <c r="B80" s="6" t="inlineStr">
        <is>
          <t>NOT2</t>
        </is>
      </c>
      <c r="C80" s="6" t="inlineStr">
        <is>
          <t>Mark notification read</t>
        </is>
      </c>
      <c r="D80" s="6" t="inlineStr">
        <is>
          <t>Click an unread owned notification</t>
        </is>
      </c>
      <c r="E80" s="6" t="inlineStr">
        <is>
          <t>Notification becomes read and unread count decreases.</t>
        </is>
      </c>
      <c r="F80" s="6" t="inlineStr">
        <is>
          <t>Not Executed</t>
        </is>
      </c>
      <c r="G80" s="6" t="inlineStr">
        <is>
          <t>Not Executed</t>
        </is>
      </c>
    </row>
    <row r="81" ht="48" customHeight="1">
      <c r="A81" s="5" t="n"/>
      <c r="B81" s="4" t="inlineStr">
        <is>
          <t>NOT3</t>
        </is>
      </c>
      <c r="C81" s="4" t="inlineStr">
        <is>
          <t>Prevent cross-user notification access</t>
        </is>
      </c>
      <c r="D81" s="4" t="inlineStr">
        <is>
          <t>Use another user's notification ID</t>
        </is>
      </c>
      <c r="E81" s="4" t="inlineStr">
        <is>
          <t>Operation returns not found/denied.</t>
        </is>
      </c>
      <c r="F81" s="4" t="inlineStr">
        <is>
          <t>Not Executed</t>
        </is>
      </c>
      <c r="G81" s="4" t="inlineStr">
        <is>
          <t>Not Executed</t>
        </is>
      </c>
    </row>
    <row r="82" ht="48" customHeight="1">
      <c r="A82" s="5" t="n"/>
      <c r="B82" s="6" t="inlineStr">
        <is>
          <t>NOT4</t>
        </is>
      </c>
      <c r="C82" s="6" t="inlineStr">
        <is>
          <t>Monthly report notification</t>
        </is>
      </c>
      <c r="D82" s="6" t="inlineStr">
        <is>
          <t>Generate monthly report notification</t>
        </is>
      </c>
      <c r="E82" s="6" t="inlineStr">
        <is>
          <t>Notification is created once with correct type/message.</t>
        </is>
      </c>
      <c r="F82" s="6" t="inlineStr">
        <is>
          <t>Not Executed</t>
        </is>
      </c>
      <c r="G82" s="6" t="inlineStr">
        <is>
          <t>Not Executed</t>
        </is>
      </c>
    </row>
    <row r="83" ht="48" customHeight="1">
      <c r="A83" s="7" t="n"/>
      <c r="B83" s="4" t="inlineStr">
        <is>
          <t>NOT5</t>
        </is>
      </c>
      <c r="C83" s="4" t="inlineStr">
        <is>
          <t>Notification filters</t>
        </is>
      </c>
      <c r="D83" s="4" t="inlineStr">
        <is>
          <t>Choose All, Unread, or New</t>
        </is>
      </c>
      <c r="E83" s="4" t="inlineStr">
        <is>
          <t>Only notifications matching the selected filter are displayed.</t>
        </is>
      </c>
      <c r="F83" s="4" t="inlineStr">
        <is>
          <t>Not Executed</t>
        </is>
      </c>
      <c r="G83" s="4" t="inlineStr">
        <is>
          <t>Not Executed</t>
        </is>
      </c>
    </row>
    <row r="84" ht="48" customHeight="1">
      <c r="A84" s="3" t="inlineStr">
        <is>
          <t>Profile &amp; Settings</t>
        </is>
      </c>
      <c r="B84" s="6" t="inlineStr">
        <is>
          <t>PRO1</t>
        </is>
      </c>
      <c r="C84" s="6" t="inlineStr">
        <is>
          <t>Load profile</t>
        </is>
      </c>
      <c r="D84" s="6" t="inlineStr">
        <is>
          <t>Authenticated user</t>
        </is>
      </c>
      <c r="E84" s="6" t="inlineStr">
        <is>
          <t>Correct personal profile details are displayed.</t>
        </is>
      </c>
      <c r="F84" s="6" t="inlineStr">
        <is>
          <t>Not Executed</t>
        </is>
      </c>
      <c r="G84" s="6" t="inlineStr">
        <is>
          <t>Not Executed</t>
        </is>
      </c>
    </row>
    <row r="85" ht="48" customHeight="1">
      <c r="A85" s="5" t="n"/>
      <c r="B85" s="4" t="inlineStr">
        <is>
          <t>PRO2</t>
        </is>
      </c>
      <c r="C85" s="4" t="inlineStr">
        <is>
          <t>Update profile</t>
        </is>
      </c>
      <c r="D85" s="4" t="inlineStr">
        <is>
          <t>Valid changed full name/profile fields</t>
        </is>
      </c>
      <c r="E85" s="4" t="inlineStr">
        <is>
          <t>Changes persist and success feedback is shown.</t>
        </is>
      </c>
      <c r="F85" s="4" t="inlineStr">
        <is>
          <t>Not Executed</t>
        </is>
      </c>
      <c r="G85" s="4" t="inlineStr">
        <is>
          <t>Not Executed</t>
        </is>
      </c>
    </row>
    <row r="86" ht="48" customHeight="1">
      <c r="A86" s="5" t="n"/>
      <c r="B86" s="6" t="inlineStr">
        <is>
          <t>PRO3</t>
        </is>
      </c>
      <c r="C86" s="6" t="inlineStr">
        <is>
          <t>Theme preference</t>
        </is>
      </c>
      <c r="D86" s="6" t="inlineStr">
        <is>
          <t>Select light, dark, or system</t>
        </is>
      </c>
      <c r="E86" s="6" t="inlineStr">
        <is>
          <t>Theme applies immediately and persists on reload.</t>
        </is>
      </c>
      <c r="F86" s="6" t="inlineStr">
        <is>
          <t>Not Executed</t>
        </is>
      </c>
      <c r="G86" s="6" t="inlineStr">
        <is>
          <t>Not Executed</t>
        </is>
      </c>
    </row>
    <row r="87" ht="48" customHeight="1">
      <c r="A87" s="5" t="n"/>
      <c r="B87" s="4" t="inlineStr">
        <is>
          <t>PRO4</t>
        </is>
      </c>
      <c r="C87" s="4" t="inlineStr">
        <is>
          <t>Display preferences</t>
        </is>
      </c>
      <c r="D87" s="4" t="inlineStr">
        <is>
          <t>Change currency/compact/balance settings</t>
        </is>
      </c>
      <c r="E87" s="4" t="inlineStr">
        <is>
          <t>Preferences save locally and remain after refresh.</t>
        </is>
      </c>
      <c r="F87" s="4" t="inlineStr">
        <is>
          <t>Not Executed</t>
        </is>
      </c>
      <c r="G87" s="4" t="inlineStr">
        <is>
          <t>Not Executed</t>
        </is>
      </c>
    </row>
    <row r="88" ht="48" customHeight="1">
      <c r="A88" s="7" t="n"/>
      <c r="B88" s="6" t="inlineStr">
        <is>
          <t>PRO5</t>
        </is>
      </c>
      <c r="C88" s="6" t="inlineStr">
        <is>
          <t>Notification preferences</t>
        </is>
      </c>
      <c r="D88" s="6" t="inlineStr">
        <is>
          <t>Toggle update, summary, and budget alerts</t>
        </is>
      </c>
      <c r="E88" s="6" t="inlineStr">
        <is>
          <t>Selections persist without changing another account's server data.</t>
        </is>
      </c>
      <c r="F88" s="6" t="inlineStr">
        <is>
          <t>Not Executed</t>
        </is>
      </c>
      <c r="G88" s="6" t="inlineStr">
        <is>
          <t>Not Executed</t>
        </is>
      </c>
    </row>
    <row r="89" ht="48" customHeight="1">
      <c r="A89" s="3" t="inlineStr">
        <is>
          <t>Premium Membership</t>
        </is>
      </c>
      <c r="B89" s="4" t="inlineStr">
        <is>
          <t>PRE1</t>
        </is>
      </c>
      <c r="C89" s="4" t="inlineStr">
        <is>
          <t>View current membership</t>
        </is>
      </c>
      <c r="D89" s="4" t="inlineStr">
        <is>
          <t>Free or Premium authenticated user</t>
        </is>
      </c>
      <c r="E89" s="4" t="inlineStr">
        <is>
          <t>Correct plan, premium flag, and subscription details are returned.</t>
        </is>
      </c>
      <c r="F89" s="4" t="inlineStr">
        <is>
          <t>Not Executed</t>
        </is>
      </c>
      <c r="G89" s="4" t="inlineStr">
        <is>
          <t>Not Executed</t>
        </is>
      </c>
    </row>
    <row r="90" ht="48" customHeight="1">
      <c r="A90" s="5" t="n"/>
      <c r="B90" s="6" t="inlineStr">
        <is>
          <t>PRE2</t>
        </is>
      </c>
      <c r="C90" s="6" t="inlineStr">
        <is>
          <t>Successful verified upgrade</t>
        </is>
      </c>
      <c r="D90" s="6" t="inlineStr">
        <is>
          <t>Valid captured payment and signature</t>
        </is>
      </c>
      <c r="E90" s="6" t="inlineStr">
        <is>
          <t>Subscription activates and role/plan reflect Premium access.</t>
        </is>
      </c>
      <c r="F90" s="6" t="inlineStr">
        <is>
          <t>Not Executed</t>
        </is>
      </c>
      <c r="G90" s="6" t="inlineStr">
        <is>
          <t>Not Executed</t>
        </is>
      </c>
    </row>
    <row r="91" ht="48" customHeight="1">
      <c r="A91" s="5" t="n"/>
      <c r="B91" s="4" t="inlineStr">
        <is>
          <t>PRE3</t>
        </is>
      </c>
      <c r="C91" s="4" t="inlineStr">
        <is>
          <t>Reject invalid payment signature</t>
        </is>
      </c>
      <c r="D91" s="4" t="inlineStr">
        <is>
          <t>Incorrect payment signature</t>
        </is>
      </c>
      <c r="E91" s="4" t="inlineStr">
        <is>
          <t>Upgrade fails and Premium access remains locked.</t>
        </is>
      </c>
      <c r="F91" s="4" t="inlineStr">
        <is>
          <t>Not Executed</t>
        </is>
      </c>
      <c r="G91" s="4" t="inlineStr">
        <is>
          <t>Not Executed</t>
        </is>
      </c>
    </row>
    <row r="92" ht="48" customHeight="1">
      <c r="A92" s="5" t="n"/>
      <c r="B92" s="6" t="inlineStr">
        <is>
          <t>PRE4</t>
        </is>
      </c>
      <c r="C92" s="6" t="inlineStr">
        <is>
          <t>Cancel Premium membership</t>
        </is>
      </c>
      <c r="D92" s="6" t="inlineStr">
        <is>
          <t>Premium User cancels active plan</t>
        </is>
      </c>
      <c r="E92" s="6" t="inlineStr">
        <is>
          <t>Subscription is cancelled and Premium-only APIs become inaccessible.</t>
        </is>
      </c>
      <c r="F92" s="6" t="inlineStr">
        <is>
          <t>Not Executed</t>
        </is>
      </c>
      <c r="G92" s="6" t="inlineStr">
        <is>
          <t>Not Executed</t>
        </is>
      </c>
    </row>
    <row r="93" ht="48" customHeight="1">
      <c r="A93" s="7" t="n"/>
      <c r="B93" s="4" t="inlineStr">
        <is>
          <t>PRE5</t>
        </is>
      </c>
      <c r="C93" s="4" t="inlineStr">
        <is>
          <t>Admin role survives membership changes</t>
        </is>
      </c>
      <c r="D93" s="4" t="inlineStr">
        <is>
          <t>Admin activates/cancels membership</t>
        </is>
      </c>
      <c r="E93" s="4" t="inlineStr">
        <is>
          <t>Role remains Admin and admin permissions are preserved.</t>
        </is>
      </c>
      <c r="F93" s="4" t="inlineStr">
        <is>
          <t>Not Executed</t>
        </is>
      </c>
      <c r="G93" s="4" t="inlineStr">
        <is>
          <t>Not Executed</t>
        </is>
      </c>
    </row>
    <row r="94" ht="48" customHeight="1">
      <c r="A94" s="3" t="inlineStr">
        <is>
          <t>Admin &amp; Role Access</t>
        </is>
      </c>
      <c r="B94" s="6" t="inlineStr">
        <is>
          <t>ADM1</t>
        </is>
      </c>
      <c r="C94" s="6" t="inlineStr">
        <is>
          <t>Admin sidebar</t>
        </is>
      </c>
      <c r="D94" s="6" t="inlineStr">
        <is>
          <t>Authenticated Admin</t>
        </is>
      </c>
      <c r="E94" s="6" t="inlineStr">
        <is>
          <t>User features, Admin entry, and Admin badge are visible.</t>
        </is>
      </c>
      <c r="F94" s="6" t="inlineStr">
        <is>
          <t>Not Executed</t>
        </is>
      </c>
      <c r="G94" s="6" t="inlineStr">
        <is>
          <t>Not Executed</t>
        </is>
      </c>
    </row>
    <row r="95" ht="48" customHeight="1">
      <c r="A95" s="5" t="n"/>
      <c r="B95" s="4" t="inlineStr">
        <is>
          <t>ADM2</t>
        </is>
      </c>
      <c r="C95" s="4" t="inlineStr">
        <is>
          <t>Free User sidebar</t>
        </is>
      </c>
      <c r="D95" s="4" t="inlineStr">
        <is>
          <t>Authenticated Free User</t>
        </is>
      </c>
      <c r="E95" s="4" t="inlineStr">
        <is>
          <t>Normal navigation is visible and no Admin entry/badge appears.</t>
        </is>
      </c>
      <c r="F95" s="4" t="inlineStr">
        <is>
          <t>Not Executed</t>
        </is>
      </c>
      <c r="G95" s="4" t="inlineStr">
        <is>
          <t>Not Executed</t>
        </is>
      </c>
    </row>
    <row r="96" ht="48" customHeight="1">
      <c r="A96" s="5" t="n"/>
      <c r="B96" s="6" t="inlineStr">
        <is>
          <t>ADM3</t>
        </is>
      </c>
      <c r="C96" s="6" t="inlineStr">
        <is>
          <t>Premium User sidebar</t>
        </is>
      </c>
      <c r="D96" s="6" t="inlineStr">
        <is>
          <t>Authenticated Premium User</t>
        </is>
      </c>
      <c r="E96" s="6" t="inlineStr">
        <is>
          <t>Normal navigation and Premium badge are visible; no Admin entry appears.</t>
        </is>
      </c>
      <c r="F96" s="6" t="inlineStr">
        <is>
          <t>Not Executed</t>
        </is>
      </c>
      <c r="G96" s="6" t="inlineStr">
        <is>
          <t>Not Executed</t>
        </is>
      </c>
    </row>
    <row r="97" ht="48" customHeight="1">
      <c r="A97" s="5" t="n"/>
      <c r="B97" s="4" t="inlineStr">
        <is>
          <t>ADM4</t>
        </is>
      </c>
      <c r="C97" s="4" t="inlineStr">
        <is>
          <t>Admin dashboard</t>
        </is>
      </c>
      <c r="D97" s="4" t="inlineStr">
        <is>
          <t>Admin opens /admin</t>
        </is>
      </c>
      <c r="E97" s="4" t="inlineStr">
        <is>
          <t>System-wide account and platform summaries load successfully.</t>
        </is>
      </c>
      <c r="F97" s="4" t="inlineStr">
        <is>
          <t>Not Executed</t>
        </is>
      </c>
      <c r="G97" s="4" t="inlineStr">
        <is>
          <t>Not Executed</t>
        </is>
      </c>
    </row>
    <row r="98" ht="48" customHeight="1">
      <c r="A98" s="5" t="n"/>
      <c r="B98" s="6" t="inlineStr">
        <is>
          <t>ADM5</t>
        </is>
      </c>
      <c r="C98" s="6" t="inlineStr">
        <is>
          <t>User management list</t>
        </is>
      </c>
      <c r="D98" s="6" t="inlineStr">
        <is>
          <t>Admin opens user management</t>
        </is>
      </c>
      <c r="E98" s="6" t="inlineStr">
        <is>
          <t>Users, roles, plans, and statuses are displayed.</t>
        </is>
      </c>
      <c r="F98" s="6" t="inlineStr">
        <is>
          <t>Not Executed</t>
        </is>
      </c>
      <c r="G98" s="6" t="inlineStr">
        <is>
          <t>Not Executed</t>
        </is>
      </c>
    </row>
    <row r="99" ht="48" customHeight="1">
      <c r="A99" s="5" t="n"/>
      <c r="B99" s="4" t="inlineStr">
        <is>
          <t>ADM6</t>
        </is>
      </c>
      <c r="C99" s="4" t="inlineStr">
        <is>
          <t>Deactivate user</t>
        </is>
      </c>
      <c r="D99" s="4" t="inlineStr">
        <is>
          <t>Admin sets another user inactive</t>
        </is>
      </c>
      <c r="E99" s="4" t="inlineStr">
        <is>
          <t>Target account is deactivated and can no longer access protected features.</t>
        </is>
      </c>
      <c r="F99" s="4" t="inlineStr">
        <is>
          <t>Not Executed</t>
        </is>
      </c>
      <c r="G99" s="4" t="inlineStr">
        <is>
          <t>Not Executed</t>
        </is>
      </c>
    </row>
    <row r="100" ht="48" customHeight="1">
      <c r="A100" s="5" t="n"/>
      <c r="B100" s="6" t="inlineStr">
        <is>
          <t>ADM7</t>
        </is>
      </c>
      <c r="C100" s="6" t="inlineStr">
        <is>
          <t>Change user role</t>
        </is>
      </c>
      <c r="D100" s="6" t="inlineStr">
        <is>
          <t>Admin changes user/admin role</t>
        </is>
      </c>
      <c r="E100" s="6" t="inlineStr">
        <is>
          <t>Role change persists and new authorization rules apply.</t>
        </is>
      </c>
      <c r="F100" s="6" t="inlineStr">
        <is>
          <t>Not Executed</t>
        </is>
      </c>
      <c r="G100" s="6" t="inlineStr">
        <is>
          <t>Not Executed</t>
        </is>
      </c>
    </row>
    <row r="101" ht="48" customHeight="1">
      <c r="A101" s="5" t="n"/>
      <c r="B101" s="4" t="inlineStr">
        <is>
          <t>ADM8</t>
        </is>
      </c>
      <c r="C101" s="4" t="inlineStr">
        <is>
          <t>View user financial summary</t>
        </is>
      </c>
      <c r="D101" s="4" t="inlineStr">
        <is>
          <t>Admin selects a managed user</t>
        </is>
      </c>
      <c r="E101" s="4" t="inlineStr">
        <is>
          <t>Only the selected user's aggregate summary is shown.</t>
        </is>
      </c>
      <c r="F101" s="4" t="inlineStr">
        <is>
          <t>Not Executed</t>
        </is>
      </c>
      <c r="G101" s="4" t="inlineStr">
        <is>
          <t>Not Executed</t>
        </is>
      </c>
    </row>
    <row r="102" ht="48" customHeight="1">
      <c r="A102" s="5" t="n"/>
      <c r="B102" s="6" t="inlineStr">
        <is>
          <t>ADM9</t>
        </is>
      </c>
      <c r="C102" s="6" t="inlineStr">
        <is>
          <t>System analytics</t>
        </is>
      </c>
      <c r="D102" s="6" t="inlineStr">
        <is>
          <t>Admin opens system analytics</t>
        </is>
      </c>
      <c r="E102" s="6" t="inlineStr">
        <is>
          <t>Authorized aggregate platform analytics load.</t>
        </is>
      </c>
      <c r="F102" s="6" t="inlineStr">
        <is>
          <t>Not Executed</t>
        </is>
      </c>
      <c r="G102" s="6" t="inlineStr">
        <is>
          <t>Not Executed</t>
        </is>
      </c>
    </row>
    <row r="103" ht="48" customHeight="1">
      <c r="A103" s="5" t="n"/>
      <c r="B103" s="4" t="inlineStr">
        <is>
          <t>ADM10</t>
        </is>
      </c>
      <c r="C103" s="4" t="inlineStr">
        <is>
          <t>System management</t>
        </is>
      </c>
      <c r="D103" s="4" t="inlineStr">
        <is>
          <t>Admin opens system management</t>
        </is>
      </c>
      <c r="E103" s="4" t="inlineStr">
        <is>
          <t>Operational totals and activity information load.</t>
        </is>
      </c>
      <c r="F103" s="4" t="inlineStr">
        <is>
          <t>Not Executed</t>
        </is>
      </c>
      <c r="G103" s="4" t="inlineStr">
        <is>
          <t>Not Executed</t>
        </is>
      </c>
    </row>
    <row r="104" ht="48" customHeight="1">
      <c r="A104" s="5" t="n"/>
      <c r="B104" s="6" t="inlineStr">
        <is>
          <t>ADM11</t>
        </is>
      </c>
      <c r="C104" s="6" t="inlineStr">
        <is>
          <t>Block normal user from Admin APIs</t>
        </is>
      </c>
      <c r="D104" s="6" t="inlineStr">
        <is>
          <t>Free/Premium User requests /admin endpoints</t>
        </is>
      </c>
      <c r="E104" s="6" t="inlineStr">
        <is>
          <t>API returns 403 Administrator access required.</t>
        </is>
      </c>
      <c r="F104" s="6" t="inlineStr">
        <is>
          <t>Not Executed</t>
        </is>
      </c>
      <c r="G104" s="6" t="inlineStr">
        <is>
          <t>Not Executed</t>
        </is>
      </c>
    </row>
    <row r="105" ht="48" customHeight="1">
      <c r="A105" s="7" t="n"/>
      <c r="B105" s="4" t="inlineStr">
        <is>
          <t>ADM12</t>
        </is>
      </c>
      <c r="C105" s="4" t="inlineStr">
        <is>
          <t>Admin personal data isolation</t>
        </is>
      </c>
      <c r="D105" s="4" t="inlineStr">
        <is>
          <t>Admin and normal user both have transactions</t>
        </is>
      </c>
      <c r="E105" s="4" t="inlineStr">
        <is>
          <t>Admin personal pages use only Admin-owned records; system data appears only in Admin pages.</t>
        </is>
      </c>
      <c r="F105" s="4" t="inlineStr">
        <is>
          <t>Not Executed</t>
        </is>
      </c>
      <c r="G105" s="4" t="inlineStr">
        <is>
          <t>Not Executed</t>
        </is>
      </c>
    </row>
    <row r="106" ht="48" customHeight="1">
      <c r="A106" s="3" t="inlineStr">
        <is>
          <t>Navigation &amp; Compatibility</t>
        </is>
      </c>
      <c r="B106" s="6" t="inlineStr">
        <is>
          <t>NAV1</t>
        </is>
      </c>
      <c r="C106" s="6" t="inlineStr">
        <is>
          <t>Overview navigation label</t>
        </is>
      </c>
      <c r="D106" s="6" t="inlineStr">
        <is>
          <t>Inspect sidebar and page heading</t>
        </is>
      </c>
      <c r="E106" s="6" t="inlineStr">
        <is>
          <t>Visible label and heading say Overview while /dashboard remains functional.</t>
        </is>
      </c>
      <c r="F106" s="6" t="inlineStr">
        <is>
          <t>Not Executed</t>
        </is>
      </c>
      <c r="G106" s="6" t="inlineStr">
        <is>
          <t>Not Executed</t>
        </is>
      </c>
    </row>
    <row r="107" ht="48" customHeight="1">
      <c r="A107" s="5" t="n"/>
      <c r="B107" s="4" t="inlineStr">
        <is>
          <t>NAV2</t>
        </is>
      </c>
      <c r="C107" s="4" t="inlineStr">
        <is>
          <t>Single Analytics navigation</t>
        </is>
      </c>
      <c r="D107" s="4" t="inlineStr">
        <is>
          <t>Inspect all role sidebars</t>
        </is>
      </c>
      <c r="E107" s="4" t="inlineStr">
        <is>
          <t>Exactly one Analytics item is visible and no Advanced Analytics item appears.</t>
        </is>
      </c>
      <c r="F107" s="4" t="inlineStr">
        <is>
          <t>Not Executed</t>
        </is>
      </c>
      <c r="G107" s="4" t="inlineStr">
        <is>
          <t>Not Executed</t>
        </is>
      </c>
    </row>
    <row r="108" ht="48" customHeight="1">
      <c r="A108" s="5" t="n"/>
      <c r="B108" s="6" t="inlineStr">
        <is>
          <t>NAV3</t>
        </is>
      </c>
      <c r="C108" s="6" t="inlineStr">
        <is>
          <t>Sidebar responsive behavior</t>
        </is>
      </c>
      <c r="D108" s="6" t="inlineStr">
        <is>
          <t>Open application on mobile width</t>
        </is>
      </c>
      <c r="E108" s="6" t="inlineStr">
        <is>
          <t>Sidebar opens/closes correctly and links remain usable.</t>
        </is>
      </c>
      <c r="F108" s="6" t="inlineStr">
        <is>
          <t>Not Executed</t>
        </is>
      </c>
      <c r="G108" s="6" t="inlineStr">
        <is>
          <t>Not Executed</t>
        </is>
      </c>
    </row>
    <row r="109" ht="48" customHeight="1">
      <c r="A109" s="5" t="n"/>
      <c r="B109" s="4" t="inlineStr">
        <is>
          <t>NAV4</t>
        </is>
      </c>
      <c r="C109" s="4" t="inlineStr">
        <is>
          <t>Topbar quick navigation</t>
        </is>
      </c>
      <c r="D109" s="4" t="inlineStr">
        <is>
          <t>Search for Overview or Analytics</t>
        </is>
      </c>
      <c r="E109" s="4" t="inlineStr">
        <is>
          <t>Matching page is found and navigation succeeds.</t>
        </is>
      </c>
      <c r="F109" s="4" t="inlineStr">
        <is>
          <t>Not Executed</t>
        </is>
      </c>
      <c r="G109" s="4" t="inlineStr">
        <is>
          <t>Not Executed</t>
        </is>
      </c>
    </row>
    <row r="110" ht="48" customHeight="1">
      <c r="A110" s="7" t="n"/>
      <c r="B110" s="6" t="inlineStr">
        <is>
          <t>NAV5</t>
        </is>
      </c>
      <c r="C110" s="6" t="inlineStr">
        <is>
          <t>Role-based route fallback</t>
        </is>
      </c>
      <c r="D110" s="6" t="inlineStr">
        <is>
          <t>Unauthorized user opens role-restricted URL</t>
        </is>
      </c>
      <c r="E110" s="6" t="inlineStr">
        <is>
          <t>User is redirected to an allowed page without exposing restricted content.</t>
        </is>
      </c>
      <c r="F110" s="6" t="inlineStr">
        <is>
          <t>Not Executed</t>
        </is>
      </c>
      <c r="G110" s="6" t="inlineStr">
        <is>
          <t>Not Executed</t>
        </is>
      </c>
    </row>
  </sheetData>
  <autoFilter ref="A2:G110"/>
  <mergeCells count="16">
    <mergeCell ref="A84:A88"/>
    <mergeCell ref="A106:A110"/>
    <mergeCell ref="A1:G1"/>
    <mergeCell ref="A21:A26"/>
    <mergeCell ref="A79:A83"/>
    <mergeCell ref="A3:A10"/>
    <mergeCell ref="A60:A73"/>
    <mergeCell ref="A74:A78"/>
    <mergeCell ref="A94:A105"/>
    <mergeCell ref="A46:A52"/>
    <mergeCell ref="A41:A45"/>
    <mergeCell ref="A11:A20"/>
    <mergeCell ref="A33:A40"/>
    <mergeCell ref="A89:A93"/>
    <mergeCell ref="A53:A59"/>
    <mergeCell ref="A27:A3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</cols>
  <sheetData>
    <row r="1">
      <c r="A1" s="8" t="inlineStr">
        <is>
          <t>BudgetBuddy Test Summary</t>
        </is>
      </c>
      <c r="B1" s="9" t="n"/>
      <c r="C1" s="9" t="n"/>
      <c r="D1" s="9" t="n"/>
    </row>
    <row r="2">
      <c r="A2" s="10" t="inlineStr">
        <is>
          <t>Module</t>
        </is>
      </c>
      <c r="B2" s="10" t="inlineStr">
        <is>
          <t>Number of Cases</t>
        </is>
      </c>
      <c r="C2" s="10" t="inlineStr">
        <is>
          <t>Executed</t>
        </is>
      </c>
      <c r="D2" s="10" t="inlineStr">
        <is>
          <t>Pass Rate</t>
        </is>
      </c>
    </row>
    <row r="3">
      <c r="A3" s="9" t="inlineStr">
        <is>
          <t>Registration &amp; Verification</t>
        </is>
      </c>
      <c r="B3" s="9" t="n">
        <v>8</v>
      </c>
      <c r="C3" s="9">
        <f>COUNTIFS('BudgetBuddy Test Cases'!B:B,"REG*",'BudgetBuddy Test Cases'!G:G,"&lt;&gt;Not Executed")</f>
        <v/>
      </c>
      <c r="D3" s="11">
        <f>IF(C3=0,"Not Executed",COUNTIFS('BudgetBuddy Test Cases'!B:B,"REG*",'BudgetBuddy Test Cases'!G:G,"Pass")/C3)</f>
        <v/>
      </c>
    </row>
    <row r="4">
      <c r="A4" s="9" t="inlineStr">
        <is>
          <t>Login &amp; Session</t>
        </is>
      </c>
      <c r="B4" s="9" t="n">
        <v>10</v>
      </c>
      <c r="C4" s="9">
        <f>COUNTIFS('BudgetBuddy Test Cases'!B:B,"LOG*",'BudgetBuddy Test Cases'!G:G,"&lt;&gt;Not Executed")</f>
        <v/>
      </c>
      <c r="D4" s="11">
        <f>IF(C4=0,"Not Executed",COUNTIFS('BudgetBuddy Test Cases'!B:B,"LOG*",'BudgetBuddy Test Cases'!G:G,"Pass")/C4)</f>
        <v/>
      </c>
    </row>
    <row r="5">
      <c r="A5" s="9" t="inlineStr">
        <is>
          <t>Overview</t>
        </is>
      </c>
      <c r="B5" s="9" t="n">
        <v>6</v>
      </c>
      <c r="C5" s="9">
        <f>COUNTIFS('BudgetBuddy Test Cases'!B:B,"OVR*",'BudgetBuddy Test Cases'!G:G,"&lt;&gt;Not Executed")</f>
        <v/>
      </c>
      <c r="D5" s="11">
        <f>IF(C5=0,"Not Executed",COUNTIFS('BudgetBuddy Test Cases'!B:B,"OVR*",'BudgetBuddy Test Cases'!G:G,"Pass")/C5)</f>
        <v/>
      </c>
    </row>
    <row r="6">
      <c r="A6" s="9" t="inlineStr">
        <is>
          <t>Income</t>
        </is>
      </c>
      <c r="B6" s="9" t="n">
        <v>6</v>
      </c>
      <c r="C6" s="9">
        <f>COUNTIFS('BudgetBuddy Test Cases'!B:B,"INC*",'BudgetBuddy Test Cases'!G:G,"&lt;&gt;Not Executed")</f>
        <v/>
      </c>
      <c r="D6" s="11">
        <f>IF(C6=0,"Not Executed",COUNTIFS('BudgetBuddy Test Cases'!B:B,"INC*",'BudgetBuddy Test Cases'!G:G,"Pass")/C6)</f>
        <v/>
      </c>
    </row>
    <row r="7">
      <c r="A7" s="9" t="inlineStr">
        <is>
          <t>Expenses</t>
        </is>
      </c>
      <c r="B7" s="9" t="n">
        <v>8</v>
      </c>
      <c r="C7" s="9">
        <f>COUNTIFS('BudgetBuddy Test Cases'!B:B,"EXP*",'BudgetBuddy Test Cases'!G:G,"&lt;&gt;Not Executed")</f>
        <v/>
      </c>
      <c r="D7" s="11">
        <f>IF(C7=0,"Not Executed",COUNTIFS('BudgetBuddy Test Cases'!B:B,"EXP*",'BudgetBuddy Test Cases'!G:G,"Pass")/C7)</f>
        <v/>
      </c>
    </row>
    <row r="8">
      <c r="A8" s="9" t="inlineStr">
        <is>
          <t>Accounts</t>
        </is>
      </c>
      <c r="B8" s="9" t="n">
        <v>5</v>
      </c>
      <c r="C8" s="9">
        <f>COUNTIFS('BudgetBuddy Test Cases'!B:B,"ACC*",'BudgetBuddy Test Cases'!G:G,"&lt;&gt;Not Executed")</f>
        <v/>
      </c>
      <c r="D8" s="11">
        <f>IF(C8=0,"Not Executed",COUNTIFS('BudgetBuddy Test Cases'!B:B,"ACC*",'BudgetBuddy Test Cases'!G:G,"Pass")/C8)</f>
        <v/>
      </c>
    </row>
    <row r="9">
      <c r="A9" s="9" t="inlineStr">
        <is>
          <t>Budgets</t>
        </is>
      </c>
      <c r="B9" s="9" t="n">
        <v>7</v>
      </c>
      <c r="C9" s="9">
        <f>COUNTIFS('BudgetBuddy Test Cases'!B:B,"BUD*",'BudgetBuddy Test Cases'!G:G,"&lt;&gt;Not Executed")</f>
        <v/>
      </c>
      <c r="D9" s="11">
        <f>IF(C9=0,"Not Executed",COUNTIFS('BudgetBuddy Test Cases'!B:B,"BUD*",'BudgetBuddy Test Cases'!G:G,"Pass")/C9)</f>
        <v/>
      </c>
    </row>
    <row r="10">
      <c r="A10" s="9" t="inlineStr">
        <is>
          <t>Savings Goals</t>
        </is>
      </c>
      <c r="B10" s="9" t="n">
        <v>7</v>
      </c>
      <c r="C10" s="9">
        <f>COUNTIFS('BudgetBuddy Test Cases'!B:B,"GOL*",'BudgetBuddy Test Cases'!G:G,"&lt;&gt;Not Executed")</f>
        <v/>
      </c>
      <c r="D10" s="11">
        <f>IF(C10=0,"Not Executed",COUNTIFS('BudgetBuddy Test Cases'!B:B,"GOL*",'BudgetBuddy Test Cases'!G:G,"Pass")/C10)</f>
        <v/>
      </c>
    </row>
    <row r="11">
      <c r="A11" s="9" t="inlineStr">
        <is>
          <t>Analytics</t>
        </is>
      </c>
      <c r="B11" s="9" t="n">
        <v>14</v>
      </c>
      <c r="C11" s="9">
        <f>COUNTIFS('BudgetBuddy Test Cases'!B:B,"ANA*",'BudgetBuddy Test Cases'!G:G,"&lt;&gt;Not Executed")</f>
        <v/>
      </c>
      <c r="D11" s="11">
        <f>IF(C11=0,"Not Executed",COUNTIFS('BudgetBuddy Test Cases'!B:B,"ANA*",'BudgetBuddy Test Cases'!G:G,"Pass")/C11)</f>
        <v/>
      </c>
    </row>
    <row r="12">
      <c r="A12" s="9" t="inlineStr">
        <is>
          <t>Reports &amp; Export</t>
        </is>
      </c>
      <c r="B12" s="9" t="n">
        <v>5</v>
      </c>
      <c r="C12" s="9">
        <f>COUNTIFS('BudgetBuddy Test Cases'!B:B,"RPT*",'BudgetBuddy Test Cases'!G:G,"&lt;&gt;Not Executed")</f>
        <v/>
      </c>
      <c r="D12" s="11">
        <f>IF(C12=0,"Not Executed",COUNTIFS('BudgetBuddy Test Cases'!B:B,"RPT*",'BudgetBuddy Test Cases'!G:G,"Pass")/C12)</f>
        <v/>
      </c>
    </row>
    <row r="13">
      <c r="A13" s="9" t="inlineStr">
        <is>
          <t>Notifications</t>
        </is>
      </c>
      <c r="B13" s="9" t="n">
        <v>5</v>
      </c>
      <c r="C13" s="9">
        <f>COUNTIFS('BudgetBuddy Test Cases'!B:B,"NOT*",'BudgetBuddy Test Cases'!G:G,"&lt;&gt;Not Executed")</f>
        <v/>
      </c>
      <c r="D13" s="11">
        <f>IF(C13=0,"Not Executed",COUNTIFS('BudgetBuddy Test Cases'!B:B,"NOT*",'BudgetBuddy Test Cases'!G:G,"Pass")/C13)</f>
        <v/>
      </c>
    </row>
    <row r="14">
      <c r="A14" s="9" t="inlineStr">
        <is>
          <t>Profile &amp; Settings</t>
        </is>
      </c>
      <c r="B14" s="9" t="n">
        <v>5</v>
      </c>
      <c r="C14" s="9">
        <f>COUNTIFS('BudgetBuddy Test Cases'!B:B,"PRO*",'BudgetBuddy Test Cases'!G:G,"&lt;&gt;Not Executed")</f>
        <v/>
      </c>
      <c r="D14" s="11">
        <f>IF(C14=0,"Not Executed",COUNTIFS('BudgetBuddy Test Cases'!B:B,"PRO*",'BudgetBuddy Test Cases'!G:G,"Pass")/C14)</f>
        <v/>
      </c>
    </row>
    <row r="15">
      <c r="A15" s="9" t="inlineStr">
        <is>
          <t>Premium Membership</t>
        </is>
      </c>
      <c r="B15" s="9" t="n">
        <v>5</v>
      </c>
      <c r="C15" s="9">
        <f>COUNTIFS('BudgetBuddy Test Cases'!B:B,"PRE*",'BudgetBuddy Test Cases'!G:G,"&lt;&gt;Not Executed")</f>
        <v/>
      </c>
      <c r="D15" s="11">
        <f>IF(C15=0,"Not Executed",COUNTIFS('BudgetBuddy Test Cases'!B:B,"PRE*",'BudgetBuddy Test Cases'!G:G,"Pass")/C15)</f>
        <v/>
      </c>
    </row>
    <row r="16">
      <c r="A16" s="9" t="inlineStr">
        <is>
          <t>Admin &amp; Role Access</t>
        </is>
      </c>
      <c r="B16" s="9" t="n">
        <v>12</v>
      </c>
      <c r="C16" s="9">
        <f>COUNTIFS('BudgetBuddy Test Cases'!B:B,"ADM*",'BudgetBuddy Test Cases'!G:G,"&lt;&gt;Not Executed")</f>
        <v/>
      </c>
      <c r="D16" s="11">
        <f>IF(C16=0,"Not Executed",COUNTIFS('BudgetBuddy Test Cases'!B:B,"ADM*",'BudgetBuddy Test Cases'!G:G,"Pass")/C16)</f>
        <v/>
      </c>
    </row>
    <row r="17">
      <c r="A17" s="9" t="inlineStr">
        <is>
          <t>Navigation &amp; Compatibility</t>
        </is>
      </c>
      <c r="B17" s="9" t="n">
        <v>5</v>
      </c>
      <c r="C17" s="9">
        <f>COUNTIFS('BudgetBuddy Test Cases'!B:B,"NAV*",'BudgetBuddy Test Cases'!G:G,"&lt;&gt;Not Executed")</f>
        <v/>
      </c>
      <c r="D17" s="11">
        <f>IF(C17=0,"Not Executed",COUNTIFS('BudgetBuddy Test Cases'!B:B,"NAV*",'BudgetBuddy Test Cases'!G:G,"Pass")/C17)</f>
        <v/>
      </c>
    </row>
    <row r="18">
      <c r="A18" s="12" t="inlineStr">
        <is>
          <t>TOTAL</t>
        </is>
      </c>
      <c r="B18" s="12" t="n">
        <v>108</v>
      </c>
      <c r="C18" s="9" t="inlineStr"/>
      <c r="D18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2026-09-04T19:05:08Z</dcterms:created>
  <dcterms:modified xsi:type="dcterms:W3CDTF">2026-09-04T19:05:08Z</dcterms:modified>
</cp:coreProperties>
</file>